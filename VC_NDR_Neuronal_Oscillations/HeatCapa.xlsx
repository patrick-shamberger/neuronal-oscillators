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ardali\Documents\reMIND Project\V-type NDR materials\AnalysisCode_FJ_CMRMaterials\ColossalMagnetoResistive Material R-T\"/>
    </mc:Choice>
  </mc:AlternateContent>
  <xr:revisionPtr revIDLastSave="0" documentId="13_ncr:1_{5564AA7C-32FA-40F4-B6C1-270217ACDE2C}" xr6:coauthVersionLast="36" xr6:coauthVersionMax="36" xr10:uidLastSave="{00000000-0000-0000-0000-000000000000}"/>
  <bookViews>
    <workbookView xWindow="0" yWindow="0" windowWidth="21570" windowHeight="7980" xr2:uid="{EEF54A5E-B961-44FD-893B-0EEBF68FC2E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2" i="1"/>
  <c r="K11" i="1"/>
  <c r="K9" i="1"/>
  <c r="K7" i="1"/>
  <c r="K8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<sst xmlns="http://schemas.openxmlformats.org/spreadsheetml/2006/main" count="19" uniqueCount="17">
  <si>
    <t>K</t>
  </si>
  <si>
    <t>J/mol.K</t>
  </si>
  <si>
    <t>https://web.eecs.utk.edu/~dcostine/personal/PowerDeviceLib/DigiTest/index.html</t>
  </si>
  <si>
    <t>in oxygen</t>
  </si>
  <si>
    <t xml:space="preserve">Molar Mass[g/mol] </t>
  </si>
  <si>
    <t>La0.7Ca0.3MnO3</t>
  </si>
  <si>
    <t>La:</t>
  </si>
  <si>
    <t>Ca</t>
  </si>
  <si>
    <t>Mn:</t>
  </si>
  <si>
    <t>O:</t>
  </si>
  <si>
    <t>total [g/mol]:</t>
  </si>
  <si>
    <t xml:space="preserve">Density [g/cm3]: </t>
  </si>
  <si>
    <t>calculated according to: (ZxM)/(Avog#xunit cell volume)</t>
  </si>
  <si>
    <t>total[kg/mol]</t>
  </si>
  <si>
    <t>Density [kg/m3]</t>
  </si>
  <si>
    <t>Density/Molarmass: [mol/m3]</t>
  </si>
  <si>
    <t>J/m3.K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</si>
</sst>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E2BCB-0597-4476-9A10-8956977F603E}">
  <dimension ref="A1:B43"/>
  <sheetViews>
    <sheetView tabSelected="1" workbookViewId="0">
      <selection activeCell="I29" sqref="I29"/>
    </sheetView>
  </sheetViews>
  <sheetFormatPr defaultRowHeight="15" x14ac:dyDescent="0.25"/>
  <sheetData>
    <row r="1" spans="1:2" x14ac:dyDescent="0.25">
      <c r="A1" t="s">
        <v>0</v>
      </c>
      <c r="B1" t="s">
        <v>16</v>
      </c>
    </row>
    <row r="2" spans="1:2" x14ac:dyDescent="0.25">
      <c r="A2">
        <v>303.09746688509398</v>
      </c>
      <c r="B2">
        <v>3885643.687867166</v>
      </c>
    </row>
    <row r="3" spans="1:2" x14ac:dyDescent="0.25">
      <c r="A3">
        <v>292.762554872615</v>
      </c>
      <c r="B3">
        <v>3879150.7839547745</v>
      </c>
    </row>
    <row r="4" spans="1:2" x14ac:dyDescent="0.25">
      <c r="A4">
        <v>283.03062661838902</v>
      </c>
      <c r="B4">
        <v>3816180.4269122672</v>
      </c>
    </row>
    <row r="5" spans="1:2" x14ac:dyDescent="0.25">
      <c r="A5">
        <v>272.694074577555</v>
      </c>
      <c r="B5">
        <v>3790857.465718227</v>
      </c>
    </row>
    <row r="6" spans="1:2" x14ac:dyDescent="0.25">
      <c r="A6">
        <v>268.743246272124</v>
      </c>
      <c r="B6">
        <v>3797051.4798324993</v>
      </c>
    </row>
    <row r="7" spans="1:2" x14ac:dyDescent="0.25">
      <c r="A7">
        <v>264.496119510688</v>
      </c>
      <c r="B7">
        <v>3891112.7352370257</v>
      </c>
    </row>
    <row r="8" spans="1:2" x14ac:dyDescent="0.25">
      <c r="A8">
        <v>263.00588041277598</v>
      </c>
      <c r="B8">
        <v>4230021.9695196701</v>
      </c>
    </row>
    <row r="9" spans="1:2" x14ac:dyDescent="0.25">
      <c r="A9">
        <v>260.90773747154998</v>
      </c>
      <c r="B9">
        <v>4568918.4850875158</v>
      </c>
    </row>
    <row r="10" spans="1:2" x14ac:dyDescent="0.25">
      <c r="A10">
        <v>258.77023384981999</v>
      </c>
      <c r="B10">
        <v>4455893.6258957656</v>
      </c>
    </row>
    <row r="11" spans="1:2" x14ac:dyDescent="0.25">
      <c r="A11">
        <v>256.62562343855598</v>
      </c>
      <c r="B11">
        <v>4261271.8518168926</v>
      </c>
    </row>
    <row r="12" spans="1:2" x14ac:dyDescent="0.25">
      <c r="A12">
        <v>254.487573140709</v>
      </c>
      <c r="B12">
        <v>4141970.3068645834</v>
      </c>
    </row>
    <row r="13" spans="1:2" x14ac:dyDescent="0.25">
      <c r="A13">
        <v>252.960160066767</v>
      </c>
      <c r="B13">
        <v>4054064.9094298715</v>
      </c>
    </row>
    <row r="14" spans="1:2" x14ac:dyDescent="0.25">
      <c r="A14">
        <v>250.82812320621801</v>
      </c>
      <c r="B14">
        <v>4003806.9078436266</v>
      </c>
    </row>
    <row r="15" spans="1:2" x14ac:dyDescent="0.25">
      <c r="A15">
        <v>248.99949159120999</v>
      </c>
      <c r="B15">
        <v>3947278.5798542234</v>
      </c>
    </row>
    <row r="16" spans="1:2" x14ac:dyDescent="0.25">
      <c r="A16">
        <v>247.17195332843701</v>
      </c>
      <c r="B16">
        <v>3903303.6233859379</v>
      </c>
    </row>
    <row r="17" spans="1:2" x14ac:dyDescent="0.25">
      <c r="A17">
        <v>245.041556496243</v>
      </c>
      <c r="B17">
        <v>3871875.6790813422</v>
      </c>
    </row>
    <row r="18" spans="1:2" x14ac:dyDescent="0.25">
      <c r="A18">
        <v>242.60502103791899</v>
      </c>
      <c r="B18">
        <v>3815334.6323771384</v>
      </c>
    </row>
    <row r="19" spans="1:2" x14ac:dyDescent="0.25">
      <c r="A19">
        <v>232.865985994157</v>
      </c>
      <c r="B19">
        <v>3670767.360447506</v>
      </c>
    </row>
    <row r="20" spans="1:2" x14ac:dyDescent="0.25">
      <c r="A20">
        <v>222.21400183318701</v>
      </c>
      <c r="B20">
        <v>3513627.6389245265</v>
      </c>
    </row>
    <row r="21" spans="1:2" x14ac:dyDescent="0.25">
      <c r="A21">
        <v>211.867609622228</v>
      </c>
      <c r="B21">
        <v>3375324.3340405957</v>
      </c>
    </row>
    <row r="22" spans="1:2" x14ac:dyDescent="0.25">
      <c r="A22">
        <v>202.43361985236001</v>
      </c>
      <c r="B22">
        <v>3243316.7929894528</v>
      </c>
    </row>
    <row r="23" spans="1:2" x14ac:dyDescent="0.25">
      <c r="A23">
        <v>191.784915748098</v>
      </c>
      <c r="B23">
        <v>3123837.1860297699</v>
      </c>
    </row>
    <row r="24" spans="1:2" x14ac:dyDescent="0.25">
      <c r="A24">
        <v>182.34983262599499</v>
      </c>
      <c r="B24">
        <v>2979276.2734575085</v>
      </c>
    </row>
    <row r="25" spans="1:2" x14ac:dyDescent="0.25">
      <c r="A25">
        <v>172.00344041503601</v>
      </c>
      <c r="B25">
        <v>2840972.9685735977</v>
      </c>
    </row>
    <row r="26" spans="1:2" x14ac:dyDescent="0.25">
      <c r="A26">
        <v>161.04859768464399</v>
      </c>
      <c r="B26">
        <v>2696380.2592143137</v>
      </c>
    </row>
    <row r="27" spans="1:2" x14ac:dyDescent="0.25">
      <c r="A27">
        <v>151.91691980808</v>
      </c>
      <c r="B27">
        <v>2545549.0202389192</v>
      </c>
    </row>
    <row r="28" spans="1:2" x14ac:dyDescent="0.25">
      <c r="A28">
        <v>141.56724754041301</v>
      </c>
      <c r="B28">
        <v>2369585.6007916997</v>
      </c>
    </row>
    <row r="29" spans="1:2" x14ac:dyDescent="0.25">
      <c r="A29">
        <v>131.52207387052101</v>
      </c>
      <c r="B29">
        <v>2199905.2264624368</v>
      </c>
    </row>
    <row r="30" spans="1:2" x14ac:dyDescent="0.25">
      <c r="A30">
        <v>121.17240160285399</v>
      </c>
      <c r="B30">
        <v>2023941.8070152169</v>
      </c>
    </row>
    <row r="31" spans="1:2" x14ac:dyDescent="0.25">
      <c r="A31">
        <v>111.123401200136</v>
      </c>
      <c r="B31">
        <v>1810324.6323621061</v>
      </c>
    </row>
    <row r="32" spans="1:2" x14ac:dyDescent="0.25">
      <c r="A32">
        <v>101.380539423548</v>
      </c>
      <c r="B32">
        <v>1621820.5601086002</v>
      </c>
    </row>
    <row r="33" spans="1:2" x14ac:dyDescent="0.25">
      <c r="A33">
        <v>95.899017987466493</v>
      </c>
      <c r="B33">
        <v>1502449.0622248368</v>
      </c>
    </row>
    <row r="34" spans="1:2" x14ac:dyDescent="0.25">
      <c r="A34">
        <v>90.723088501396703</v>
      </c>
      <c r="B34">
        <v>1401913.9809801274</v>
      </c>
    </row>
    <row r="35" spans="1:2" x14ac:dyDescent="0.25">
      <c r="A35">
        <v>85.547159015326898</v>
      </c>
      <c r="B35">
        <v>1301378.8997354184</v>
      </c>
    </row>
    <row r="36" spans="1:2" x14ac:dyDescent="0.25">
      <c r="A36">
        <v>80.673541422560504</v>
      </c>
      <c r="B36">
        <v>1182020.1205664692</v>
      </c>
    </row>
    <row r="37" spans="1:2" x14ac:dyDescent="0.25">
      <c r="A37">
        <v>75.496518584254602</v>
      </c>
      <c r="B37">
        <v>1068931.6678006588</v>
      </c>
    </row>
    <row r="38" spans="1:2" x14ac:dyDescent="0.25">
      <c r="A38">
        <v>70.624541019842496</v>
      </c>
      <c r="B38">
        <v>968402.94591335848</v>
      </c>
    </row>
    <row r="39" spans="1:2" x14ac:dyDescent="0.25">
      <c r="A39">
        <v>66.663872544285198</v>
      </c>
      <c r="B39">
        <v>861616.61633772473</v>
      </c>
    </row>
    <row r="40" spans="1:2" x14ac:dyDescent="0.25">
      <c r="A40">
        <v>59.966543421572901</v>
      </c>
      <c r="B40">
        <v>742219.68102433498</v>
      </c>
    </row>
    <row r="41" spans="1:2" x14ac:dyDescent="0.25">
      <c r="A41">
        <v>55.400157807172697</v>
      </c>
      <c r="B41">
        <v>660527.3757760888</v>
      </c>
    </row>
    <row r="42" spans="1:2" x14ac:dyDescent="0.25">
      <c r="A42">
        <v>49.918089694972899</v>
      </c>
      <c r="B42">
        <v>534879.19213177473</v>
      </c>
    </row>
    <row r="43" spans="1:2" x14ac:dyDescent="0.25">
      <c r="A43">
        <v>44.743800237257403</v>
      </c>
      <c r="B43">
        <v>453174.16816871404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E8CE-CAFD-4D4A-99C7-4FF12710EC4A}">
  <dimension ref="A1:R43"/>
  <sheetViews>
    <sheetView workbookViewId="0">
      <selection activeCell="C1" activeCellId="1" sqref="A1:A1048576 C1:C1048576"/>
    </sheetView>
  </sheetViews>
  <sheetFormatPr defaultRowHeight="15" x14ac:dyDescent="0.25"/>
  <cols>
    <col min="1" max="2" width="12" bestFit="1" customWidth="1"/>
    <col min="9" max="9" width="27.42578125" bestFit="1" customWidth="1"/>
    <col min="10" max="10" width="18.42578125" bestFit="1" customWidth="1"/>
  </cols>
  <sheetData>
    <row r="1" spans="1:18" x14ac:dyDescent="0.25">
      <c r="A1" t="s">
        <v>0</v>
      </c>
      <c r="B1" t="s">
        <v>1</v>
      </c>
      <c r="C1" t="s">
        <v>16</v>
      </c>
      <c r="I1" t="s">
        <v>5</v>
      </c>
      <c r="J1" t="s">
        <v>4</v>
      </c>
      <c r="R1" t="s">
        <v>2</v>
      </c>
    </row>
    <row r="2" spans="1:18" x14ac:dyDescent="0.25">
      <c r="A2">
        <v>303.09746688509398</v>
      </c>
      <c r="B2">
        <v>133.61026730639901</v>
      </c>
      <c r="C2">
        <f>B2*$K$11</f>
        <v>3885643.687867166</v>
      </c>
      <c r="J2" t="s">
        <v>6</v>
      </c>
      <c r="K2">
        <f>0.7*138.9055</f>
        <v>97.23384999999999</v>
      </c>
      <c r="R2" t="s">
        <v>3</v>
      </c>
    </row>
    <row r="3" spans="1:18" x14ac:dyDescent="0.25">
      <c r="A3">
        <v>292.762554872615</v>
      </c>
      <c r="B3">
        <v>133.38700477977099</v>
      </c>
      <c r="C3">
        <f t="shared" ref="C3:C43" si="0">B3*$K$11</f>
        <v>3879150.7839547745</v>
      </c>
      <c r="J3" t="s">
        <v>7</v>
      </c>
      <c r="K3">
        <f>0.3*40.078</f>
        <v>12.023400000000001</v>
      </c>
    </row>
    <row r="4" spans="1:18" x14ac:dyDescent="0.25">
      <c r="A4">
        <v>283.03062661838902</v>
      </c>
      <c r="B4">
        <v>131.22173001124301</v>
      </c>
      <c r="C4">
        <f t="shared" si="0"/>
        <v>3816180.4269122672</v>
      </c>
      <c r="J4" t="s">
        <v>8</v>
      </c>
      <c r="K4">
        <f>1*54.938</f>
        <v>54.938000000000002</v>
      </c>
    </row>
    <row r="5" spans="1:18" x14ac:dyDescent="0.25">
      <c r="A5">
        <v>272.694074577555</v>
      </c>
      <c r="B5">
        <v>130.35098429035</v>
      </c>
      <c r="C5">
        <f t="shared" si="0"/>
        <v>3790857.465718227</v>
      </c>
      <c r="J5" t="s">
        <v>9</v>
      </c>
      <c r="K5">
        <f>3*15.999</f>
        <v>47.997</v>
      </c>
    </row>
    <row r="6" spans="1:18" x14ac:dyDescent="0.25">
      <c r="A6">
        <v>268.743246272124</v>
      </c>
      <c r="B6">
        <v>130.56396930595801</v>
      </c>
      <c r="C6">
        <f t="shared" si="0"/>
        <v>3797051.4798324993</v>
      </c>
      <c r="J6" t="s">
        <v>10</v>
      </c>
      <c r="K6">
        <f>SUM(K2:K5)</f>
        <v>212.19225</v>
      </c>
    </row>
    <row r="7" spans="1:18" x14ac:dyDescent="0.25">
      <c r="A7">
        <v>264.496119510688</v>
      </c>
      <c r="B7">
        <v>133.798323891021</v>
      </c>
      <c r="C7">
        <f t="shared" si="0"/>
        <v>3891112.7352370257</v>
      </c>
      <c r="J7" t="s">
        <v>13</v>
      </c>
      <c r="K7" s="1">
        <f>K6*0.001</f>
        <v>0.21219225</v>
      </c>
    </row>
    <row r="8" spans="1:18" x14ac:dyDescent="0.25">
      <c r="A8">
        <v>263.00588041277598</v>
      </c>
      <c r="B8">
        <v>145.451928035555</v>
      </c>
      <c r="C8">
        <f t="shared" si="0"/>
        <v>4230021.9695196701</v>
      </c>
      <c r="I8" t="s">
        <v>11</v>
      </c>
      <c r="J8" t="s">
        <v>12</v>
      </c>
      <c r="K8">
        <f>(1*K6)/(6.022E+23*5.71E-23)</f>
        <v>6.1709589648230851</v>
      </c>
    </row>
    <row r="9" spans="1:18" x14ac:dyDescent="0.25">
      <c r="A9">
        <v>260.90773747154998</v>
      </c>
      <c r="B9">
        <v>157.105094839195</v>
      </c>
      <c r="C9">
        <f t="shared" si="0"/>
        <v>4568918.4850875158</v>
      </c>
      <c r="I9" t="s">
        <v>14</v>
      </c>
      <c r="K9" s="1">
        <f>(K8*0.001)/(0.000001)</f>
        <v>6170.9589648230849</v>
      </c>
    </row>
    <row r="10" spans="1:18" x14ac:dyDescent="0.25">
      <c r="A10">
        <v>258.77023384981999</v>
      </c>
      <c r="B10">
        <v>153.21866498047399</v>
      </c>
      <c r="C10">
        <f t="shared" si="0"/>
        <v>4455893.6258957656</v>
      </c>
    </row>
    <row r="11" spans="1:18" x14ac:dyDescent="0.25">
      <c r="A11">
        <v>256.62562343855598</v>
      </c>
      <c r="B11">
        <v>146.526474613272</v>
      </c>
      <c r="C11">
        <f t="shared" si="0"/>
        <v>4261271.8518168926</v>
      </c>
      <c r="I11" t="s">
        <v>15</v>
      </c>
      <c r="K11">
        <f>K9/K7</f>
        <v>29081.924362567835</v>
      </c>
    </row>
    <row r="12" spans="1:18" x14ac:dyDescent="0.25">
      <c r="A12">
        <v>254.487573140709</v>
      </c>
      <c r="B12">
        <v>142.42421702312899</v>
      </c>
      <c r="C12">
        <f t="shared" si="0"/>
        <v>4141970.3068645834</v>
      </c>
    </row>
    <row r="13" spans="1:18" x14ac:dyDescent="0.25">
      <c r="A13">
        <v>252.960160066767</v>
      </c>
      <c r="B13">
        <v>139.40153543099001</v>
      </c>
      <c r="C13">
        <f t="shared" si="0"/>
        <v>4054064.9094298715</v>
      </c>
    </row>
    <row r="14" spans="1:18" x14ac:dyDescent="0.25">
      <c r="A14">
        <v>250.82812320621801</v>
      </c>
      <c r="B14">
        <v>137.673382886486</v>
      </c>
      <c r="C14">
        <f t="shared" si="0"/>
        <v>4003806.9078436266</v>
      </c>
    </row>
    <row r="15" spans="1:18" x14ac:dyDescent="0.25">
      <c r="A15">
        <v>248.99949159120999</v>
      </c>
      <c r="B15">
        <v>135.72962128100701</v>
      </c>
      <c r="C15">
        <f t="shared" si="0"/>
        <v>3947278.5798542234</v>
      </c>
    </row>
    <row r="16" spans="1:18" x14ac:dyDescent="0.25">
      <c r="A16">
        <v>247.17195332843701</v>
      </c>
      <c r="B16">
        <v>134.21751513837199</v>
      </c>
      <c r="C16">
        <f t="shared" si="0"/>
        <v>3903303.6233859379</v>
      </c>
    </row>
    <row r="17" spans="1:3" x14ac:dyDescent="0.25">
      <c r="A17">
        <v>245.041556496243</v>
      </c>
      <c r="B17">
        <v>133.136845788133</v>
      </c>
      <c r="C17">
        <f t="shared" si="0"/>
        <v>3871875.6790813422</v>
      </c>
    </row>
    <row r="18" spans="1:3" x14ac:dyDescent="0.25">
      <c r="A18">
        <v>242.60502103791899</v>
      </c>
      <c r="B18">
        <v>131.19264684175999</v>
      </c>
      <c r="C18">
        <f t="shared" si="0"/>
        <v>3815334.6323771384</v>
      </c>
    </row>
    <row r="19" spans="1:3" x14ac:dyDescent="0.25">
      <c r="A19">
        <v>232.865985994157</v>
      </c>
      <c r="B19">
        <v>126.221611564751</v>
      </c>
      <c r="C19">
        <f t="shared" si="0"/>
        <v>3670767.360447506</v>
      </c>
    </row>
    <row r="20" spans="1:3" x14ac:dyDescent="0.25">
      <c r="A20">
        <v>222.21400183318701</v>
      </c>
      <c r="B20">
        <v>120.818264813556</v>
      </c>
      <c r="C20">
        <f t="shared" si="0"/>
        <v>3513627.6389245265</v>
      </c>
    </row>
    <row r="21" spans="1:3" x14ac:dyDescent="0.25">
      <c r="A21">
        <v>211.867609622228</v>
      </c>
      <c r="B21">
        <v>116.062619927073</v>
      </c>
      <c r="C21">
        <f t="shared" si="0"/>
        <v>3375324.3340405957</v>
      </c>
    </row>
    <row r="22" spans="1:3" x14ac:dyDescent="0.25">
      <c r="A22">
        <v>202.43361985236001</v>
      </c>
      <c r="B22">
        <v>111.523458783354</v>
      </c>
      <c r="C22">
        <f t="shared" si="0"/>
        <v>3243316.7929894528</v>
      </c>
    </row>
    <row r="23" spans="1:3" x14ac:dyDescent="0.25">
      <c r="A23">
        <v>191.784915748098</v>
      </c>
      <c r="B23">
        <v>107.415078420689</v>
      </c>
      <c r="C23">
        <f t="shared" si="0"/>
        <v>3123837.1860297699</v>
      </c>
    </row>
    <row r="24" spans="1:3" x14ac:dyDescent="0.25">
      <c r="A24">
        <v>182.34983262599499</v>
      </c>
      <c r="B24">
        <v>102.44426181412599</v>
      </c>
      <c r="C24">
        <f t="shared" si="0"/>
        <v>2979276.2734575085</v>
      </c>
    </row>
    <row r="25" spans="1:3" x14ac:dyDescent="0.25">
      <c r="A25">
        <v>172.00344041503601</v>
      </c>
      <c r="B25">
        <v>97.688616927643693</v>
      </c>
      <c r="C25">
        <f t="shared" si="0"/>
        <v>2840972.9685735977</v>
      </c>
    </row>
    <row r="26" spans="1:3" x14ac:dyDescent="0.25">
      <c r="A26">
        <v>161.04859768464399</v>
      </c>
      <c r="B26">
        <v>92.716706968844903</v>
      </c>
      <c r="C26">
        <f t="shared" si="0"/>
        <v>2696380.2592143137</v>
      </c>
    </row>
    <row r="27" spans="1:3" x14ac:dyDescent="0.25">
      <c r="A27">
        <v>151.91691980808</v>
      </c>
      <c r="B27">
        <v>87.530281301307795</v>
      </c>
      <c r="C27">
        <f t="shared" si="0"/>
        <v>2545549.0202389192</v>
      </c>
    </row>
    <row r="28" spans="1:3" x14ac:dyDescent="0.25">
      <c r="A28">
        <v>141.56724754041301</v>
      </c>
      <c r="B28">
        <v>81.479670026295096</v>
      </c>
      <c r="C28">
        <f t="shared" si="0"/>
        <v>2369585.6007916997</v>
      </c>
    </row>
    <row r="29" spans="1:3" x14ac:dyDescent="0.25">
      <c r="A29">
        <v>131.52207387052101</v>
      </c>
      <c r="B29">
        <v>75.645105153151306</v>
      </c>
      <c r="C29">
        <f t="shared" si="0"/>
        <v>2199905.2264624368</v>
      </c>
    </row>
    <row r="30" spans="1:3" x14ac:dyDescent="0.25">
      <c r="A30">
        <v>121.17240160285399</v>
      </c>
      <c r="B30">
        <v>69.594493878138593</v>
      </c>
      <c r="C30">
        <f t="shared" si="0"/>
        <v>2023941.8070152169</v>
      </c>
    </row>
    <row r="31" spans="1:3" x14ac:dyDescent="0.25">
      <c r="A31">
        <v>111.123401200136</v>
      </c>
      <c r="B31">
        <v>62.249134885043098</v>
      </c>
      <c r="C31">
        <f t="shared" si="0"/>
        <v>1810324.6323621061</v>
      </c>
    </row>
    <row r="32" spans="1:3" x14ac:dyDescent="0.25">
      <c r="A32">
        <v>101.380539423548</v>
      </c>
      <c r="B32">
        <v>55.767305488081497</v>
      </c>
      <c r="C32">
        <f t="shared" si="0"/>
        <v>1621820.5601086002</v>
      </c>
    </row>
    <row r="33" spans="1:3" x14ac:dyDescent="0.25">
      <c r="A33">
        <v>95.899017987466493</v>
      </c>
      <c r="B33">
        <v>51.662642523019599</v>
      </c>
      <c r="C33">
        <f t="shared" si="0"/>
        <v>1502449.0622248368</v>
      </c>
    </row>
    <row r="34" spans="1:3" x14ac:dyDescent="0.25">
      <c r="A34">
        <v>90.723088501396703</v>
      </c>
      <c r="B34">
        <v>48.205681422669898</v>
      </c>
      <c r="C34">
        <f t="shared" si="0"/>
        <v>1401913.9809801274</v>
      </c>
    </row>
    <row r="35" spans="1:3" x14ac:dyDescent="0.25">
      <c r="A35">
        <v>85.547159015326898</v>
      </c>
      <c r="B35">
        <v>44.748720322320203</v>
      </c>
      <c r="C35">
        <f t="shared" si="0"/>
        <v>1301378.8997354184</v>
      </c>
    </row>
    <row r="36" spans="1:3" x14ac:dyDescent="0.25">
      <c r="A36">
        <v>80.673541422560504</v>
      </c>
      <c r="B36">
        <v>40.644494698152798</v>
      </c>
      <c r="C36">
        <f t="shared" si="0"/>
        <v>1182020.1205664692</v>
      </c>
    </row>
    <row r="37" spans="1:3" x14ac:dyDescent="0.25">
      <c r="A37">
        <v>75.496518584254602</v>
      </c>
      <c r="B37">
        <v>36.755878134959701</v>
      </c>
      <c r="C37">
        <f t="shared" si="0"/>
        <v>1068931.6678006588</v>
      </c>
    </row>
    <row r="38" spans="1:3" x14ac:dyDescent="0.25">
      <c r="A38">
        <v>70.624541019842496</v>
      </c>
      <c r="B38">
        <v>33.299135705057303</v>
      </c>
      <c r="C38">
        <f t="shared" si="0"/>
        <v>968402.94591335848</v>
      </c>
    </row>
    <row r="39" spans="1:3" x14ac:dyDescent="0.25">
      <c r="A39">
        <v>66.663872544285198</v>
      </c>
      <c r="B39">
        <v>29.627221555074801</v>
      </c>
      <c r="C39">
        <f t="shared" si="0"/>
        <v>861616.61633772473</v>
      </c>
    </row>
    <row r="40" spans="1:3" x14ac:dyDescent="0.25">
      <c r="A40">
        <v>59.966543421572901</v>
      </c>
      <c r="B40">
        <v>25.521683908223999</v>
      </c>
      <c r="C40">
        <f t="shared" si="0"/>
        <v>742219.68102433498</v>
      </c>
    </row>
    <row r="41" spans="1:3" x14ac:dyDescent="0.25">
      <c r="A41">
        <v>55.400157807172697</v>
      </c>
      <c r="B41">
        <v>22.7126433430338</v>
      </c>
      <c r="C41">
        <f t="shared" si="0"/>
        <v>660527.3757760888</v>
      </c>
    </row>
    <row r="42" spans="1:3" x14ac:dyDescent="0.25">
      <c r="A42">
        <v>49.918089694972899</v>
      </c>
      <c r="B42">
        <v>18.392152646550201</v>
      </c>
      <c r="C42">
        <f t="shared" si="0"/>
        <v>534879.19213177473</v>
      </c>
    </row>
    <row r="43" spans="1:3" x14ac:dyDescent="0.25">
      <c r="A43">
        <v>44.743800237257403</v>
      </c>
      <c r="B43">
        <v>15.582674740465499</v>
      </c>
      <c r="C43">
        <f t="shared" si="0"/>
        <v>453174.16816871404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Jardali, Fatme</dc:creator>
  <cp:lastModifiedBy>Jardali, Fatme</cp:lastModifiedBy>
  <dcterms:created xsi:type="dcterms:W3CDTF">2025-05-28T16:59:09Z</dcterms:created>
  <dcterms:modified xsi:type="dcterms:W3CDTF">2025-05-28T17:25:51Z</dcterms:modified>
</cp:coreProperties>
</file>