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1_{2F9CA545-8212-488A-B980-11AFD4999C32}" xr6:coauthVersionLast="36" xr6:coauthVersionMax="36" xr10:uidLastSave="{00000000-0000-0000-0000-000000000000}"/>
  <bookViews>
    <workbookView xWindow="0" yWindow="0" windowWidth="19605" windowHeight="9495" xr2:uid="{00000000-000D-0000-FFFF-FFFF00000000}"/>
  </bookViews>
  <sheets>
    <sheet name="Sheet1" sheetId="2" r:id="rId1"/>
    <sheet name="Sheet2" sheetId="3" r:id="rId2"/>
    <sheet name="GeEcond" sheetId="1" r:id="rId3"/>
  </sheets>
  <calcPr calcId="191029"/>
</workbook>
</file>

<file path=xl/calcChain.xml><?xml version="1.0" encoding="utf-8"?>
<calcChain xmlns="http://schemas.openxmlformats.org/spreadsheetml/2006/main">
  <c r="C3" i="1" l="1"/>
  <c r="D3" i="1"/>
  <c r="E3" i="1"/>
  <c r="C4" i="1"/>
  <c r="D4" i="1"/>
  <c r="E4" i="1"/>
  <c r="C5" i="1"/>
  <c r="D5" i="1"/>
  <c r="E5" i="1"/>
  <c r="C6" i="1"/>
  <c r="D6" i="1"/>
  <c r="E6" i="1" s="1"/>
  <c r="C7" i="1"/>
  <c r="D7" i="1"/>
  <c r="E7" i="1"/>
  <c r="C8" i="1"/>
  <c r="D8" i="1"/>
  <c r="E8" i="1"/>
  <c r="C9" i="1"/>
  <c r="D9" i="1"/>
  <c r="E9" i="1" s="1"/>
  <c r="C10" i="1"/>
  <c r="D10" i="1"/>
  <c r="E10" i="1" s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 s="1"/>
  <c r="C17" i="1"/>
  <c r="D17" i="1"/>
  <c r="E17" i="1" s="1"/>
  <c r="C18" i="1"/>
  <c r="D18" i="1"/>
  <c r="E18" i="1"/>
  <c r="C19" i="1"/>
  <c r="D19" i="1"/>
  <c r="E19" i="1"/>
  <c r="C20" i="1"/>
  <c r="D20" i="1"/>
  <c r="E20" i="1"/>
  <c r="C21" i="1"/>
  <c r="D21" i="1"/>
  <c r="E21" i="1"/>
  <c r="D2" i="1"/>
  <c r="E2" i="1" s="1"/>
  <c r="C2" i="1"/>
</calcChain>
</file>

<file path=xl/sharedStrings.xml><?xml version="1.0" encoding="utf-8"?>
<sst xmlns="http://schemas.openxmlformats.org/spreadsheetml/2006/main" count="7" uniqueCount="5">
  <si>
    <t>1000/T</t>
  </si>
  <si>
    <t>Ohm cm</t>
  </si>
  <si>
    <t>T</t>
  </si>
  <si>
    <t xml:space="preserve">Ohm m 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</si>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</sst>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4" sqref="A4:B21"/>
    </sheetView>
  </sheetViews>
  <sheetFormatPr defaultRowHeight="15" x14ac:dyDescent="0.25"/>
  <sheetData>
    <row r="1" spans="1:2" x14ac:dyDescent="0.25">
      <c r="A1" t="s">
        <v>2</v>
      </c>
      <c r="B1" t="s">
        <v>4</v>
      </c>
    </row>
    <row r="2" spans="1:2" x14ac:dyDescent="0.25">
      <c r="A2">
        <v>74.345900533163899</v>
      </c>
      <c r="B2">
        <v>42.266345127087511</v>
      </c>
    </row>
    <row r="3" spans="1:2" x14ac:dyDescent="0.25">
      <c r="A3">
        <v>79.143553657100384</v>
      </c>
      <c r="B3">
        <v>41.498952568426077</v>
      </c>
    </row>
    <row r="4" spans="1:2" x14ac:dyDescent="0.25">
      <c r="A4">
        <v>113.86737004135708</v>
      </c>
      <c r="B4">
        <v>31.334388242256665</v>
      </c>
    </row>
    <row r="5" spans="1:2" x14ac:dyDescent="0.25">
      <c r="A5">
        <v>271.40102288924345</v>
      </c>
      <c r="B5">
        <v>6.9318444140246713</v>
      </c>
    </row>
    <row r="6" spans="1:2" x14ac:dyDescent="0.25">
      <c r="A6">
        <v>303.99238343202251</v>
      </c>
      <c r="B6">
        <v>5.4626142148730406</v>
      </c>
    </row>
    <row r="7" spans="1:2" x14ac:dyDescent="0.25">
      <c r="A7">
        <v>314.81093335256088</v>
      </c>
      <c r="B7">
        <v>4.954048023180226</v>
      </c>
    </row>
    <row r="8" spans="1:2" x14ac:dyDescent="0.25">
      <c r="A8">
        <v>327.97269252538302</v>
      </c>
      <c r="B8">
        <v>4.2266345127087508</v>
      </c>
    </row>
    <row r="9" spans="1:2" x14ac:dyDescent="0.25">
      <c r="A9">
        <v>374.68866749688686</v>
      </c>
      <c r="B9">
        <v>3.8097971866722053</v>
      </c>
    </row>
    <row r="10" spans="1:2" x14ac:dyDescent="0.25">
      <c r="A10">
        <v>431.55238042698852</v>
      </c>
      <c r="B10">
        <v>3.6503475655936217</v>
      </c>
    </row>
    <row r="11" spans="1:2" x14ac:dyDescent="0.25">
      <c r="A11">
        <v>468.44801301452475</v>
      </c>
      <c r="B11">
        <v>3.7865991831339327</v>
      </c>
    </row>
    <row r="12" spans="1:2" x14ac:dyDescent="0.25">
      <c r="A12">
        <v>484.15097064345139</v>
      </c>
      <c r="B12">
        <v>4.4928290467875058</v>
      </c>
    </row>
    <row r="13" spans="1:2" x14ac:dyDescent="0.25">
      <c r="A13">
        <v>550.69428556343803</v>
      </c>
      <c r="B13">
        <v>7.8804628156699259</v>
      </c>
    </row>
    <row r="14" spans="1:2" x14ac:dyDescent="0.25">
      <c r="A14">
        <v>567.74876392941985</v>
      </c>
      <c r="B14">
        <v>10.373256560072683</v>
      </c>
    </row>
    <row r="15" spans="1:2" x14ac:dyDescent="0.25">
      <c r="A15">
        <v>601.09880962291231</v>
      </c>
      <c r="B15">
        <v>11.578718017283975</v>
      </c>
    </row>
    <row r="16" spans="1:2" x14ac:dyDescent="0.25">
      <c r="A16">
        <v>649.71882407904388</v>
      </c>
      <c r="B16">
        <v>16.102620275609407</v>
      </c>
    </row>
    <row r="17" spans="1:2" x14ac:dyDescent="0.25">
      <c r="A17">
        <v>654.90658443678774</v>
      </c>
      <c r="B17">
        <v>21.853577696630097</v>
      </c>
    </row>
    <row r="18" spans="1:2" x14ac:dyDescent="0.25">
      <c r="A18">
        <v>666.70928015170728</v>
      </c>
      <c r="B18">
        <v>26.088290592128576</v>
      </c>
    </row>
    <row r="19" spans="1:2" x14ac:dyDescent="0.25">
      <c r="A19">
        <v>764.89592712250465</v>
      </c>
      <c r="B19">
        <v>52.339900325393941</v>
      </c>
    </row>
    <row r="20" spans="1:2" x14ac:dyDescent="0.25">
      <c r="A20">
        <v>816.09889894937749</v>
      </c>
      <c r="B20">
        <v>76.43444644493286</v>
      </c>
    </row>
    <row r="21" spans="1:2" x14ac:dyDescent="0.25">
      <c r="A21">
        <v>885.71132036306676</v>
      </c>
      <c r="B21">
        <v>107.60445166109061</v>
      </c>
    </row>
  </sheetData>
  <sortState ref="A2:B21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F56C-BD7D-4646-B20A-93CBE374B159}">
  <dimension ref="A1:B18"/>
  <sheetViews>
    <sheetView workbookViewId="0">
      <selection activeCell="C12" sqref="C12"/>
    </sheetView>
  </sheetViews>
  <sheetFormatPr defaultRowHeight="15" x14ac:dyDescent="0.25"/>
  <sheetData>
    <row r="1" spans="1:2" x14ac:dyDescent="0.25">
      <c r="A1">
        <v>113.86737004135708</v>
      </c>
      <c r="B1">
        <v>31.334388242256665</v>
      </c>
    </row>
    <row r="2" spans="1:2" x14ac:dyDescent="0.25">
      <c r="A2">
        <v>271.40102288924345</v>
      </c>
      <c r="B2">
        <v>6.9318444140246713</v>
      </c>
    </row>
    <row r="3" spans="1:2" x14ac:dyDescent="0.25">
      <c r="A3">
        <v>303.99238343202251</v>
      </c>
      <c r="B3">
        <v>5.4626142148730406</v>
      </c>
    </row>
    <row r="4" spans="1:2" x14ac:dyDescent="0.25">
      <c r="A4">
        <v>314.81093335256088</v>
      </c>
      <c r="B4">
        <v>4.954048023180226</v>
      </c>
    </row>
    <row r="5" spans="1:2" x14ac:dyDescent="0.25">
      <c r="A5">
        <v>327.97269252538302</v>
      </c>
      <c r="B5">
        <v>4.2266345127087508</v>
      </c>
    </row>
    <row r="6" spans="1:2" x14ac:dyDescent="0.25">
      <c r="A6">
        <v>374.68866749688686</v>
      </c>
      <c r="B6">
        <v>3.8097971866722053</v>
      </c>
    </row>
    <row r="7" spans="1:2" x14ac:dyDescent="0.25">
      <c r="A7">
        <v>431.55238042698852</v>
      </c>
      <c r="B7">
        <v>3.6503475655936217</v>
      </c>
    </row>
    <row r="8" spans="1:2" x14ac:dyDescent="0.25">
      <c r="A8">
        <v>468.44801301452475</v>
      </c>
      <c r="B8">
        <v>3.7865991831339327</v>
      </c>
    </row>
    <row r="9" spans="1:2" x14ac:dyDescent="0.25">
      <c r="A9">
        <v>484.15097064345139</v>
      </c>
      <c r="B9">
        <v>4.4928290467875058</v>
      </c>
    </row>
    <row r="10" spans="1:2" x14ac:dyDescent="0.25">
      <c r="A10">
        <v>550.69428556343803</v>
      </c>
      <c r="B10">
        <v>7.8804628156699259</v>
      </c>
    </row>
    <row r="11" spans="1:2" x14ac:dyDescent="0.25">
      <c r="A11">
        <v>567.74876392941985</v>
      </c>
      <c r="B11">
        <v>10.373256560072683</v>
      </c>
    </row>
    <row r="12" spans="1:2" x14ac:dyDescent="0.25">
      <c r="A12">
        <v>601.09880962291231</v>
      </c>
      <c r="B12">
        <v>11.578718017283975</v>
      </c>
    </row>
    <row r="13" spans="1:2" x14ac:dyDescent="0.25">
      <c r="A13">
        <v>649.71882407904388</v>
      </c>
      <c r="B13">
        <v>16.102620275609407</v>
      </c>
    </row>
    <row r="14" spans="1:2" x14ac:dyDescent="0.25">
      <c r="A14">
        <v>654.90658443678774</v>
      </c>
      <c r="B14">
        <v>21.853577696630097</v>
      </c>
    </row>
    <row r="15" spans="1:2" x14ac:dyDescent="0.25">
      <c r="A15">
        <v>666.70928015170728</v>
      </c>
      <c r="B15">
        <v>26.088290592128576</v>
      </c>
    </row>
    <row r="16" spans="1:2" x14ac:dyDescent="0.25">
      <c r="A16">
        <v>764.89592712250465</v>
      </c>
      <c r="B16">
        <v>52.339900325393941</v>
      </c>
    </row>
    <row r="17" spans="1:2" x14ac:dyDescent="0.25">
      <c r="A17">
        <v>816.09889894937749</v>
      </c>
      <c r="B17">
        <v>76.43444644493286</v>
      </c>
    </row>
    <row r="18" spans="1:2" x14ac:dyDescent="0.25">
      <c r="A18">
        <v>885.71132036306676</v>
      </c>
      <c r="B18">
        <v>107.60445166109061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C28" sqref="C2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1.12903603805141</v>
      </c>
      <c r="B2">
        <v>0.92932958122363296</v>
      </c>
      <c r="C2">
        <f>1000/A2</f>
        <v>885.71132036306676</v>
      </c>
      <c r="D2">
        <f>B2/100</f>
        <v>9.2932958122363303E-3</v>
      </c>
      <c r="E2">
        <f>1/D2</f>
        <v>107.60445166109061</v>
      </c>
    </row>
    <row r="3" spans="1:5" x14ac:dyDescent="0.25">
      <c r="A3">
        <v>1.22534168504255</v>
      </c>
      <c r="B3">
        <v>1.3083106459342899</v>
      </c>
      <c r="C3">
        <f t="shared" ref="C3:C21" si="0">1000/A3</f>
        <v>816.09889894937749</v>
      </c>
      <c r="D3">
        <f t="shared" ref="D3:D21" si="1">B3/100</f>
        <v>1.3083106459342899E-2</v>
      </c>
      <c r="E3">
        <f t="shared" ref="E3:E21" si="2">1/D3</f>
        <v>76.43444644493286</v>
      </c>
    </row>
    <row r="4" spans="1:5" x14ac:dyDescent="0.25">
      <c r="A4">
        <v>1.3073674006370299</v>
      </c>
      <c r="B4">
        <v>1.9105882773621301</v>
      </c>
      <c r="C4">
        <f t="shared" si="0"/>
        <v>764.89592712250465</v>
      </c>
      <c r="D4">
        <f t="shared" si="1"/>
        <v>1.91058827736213E-2</v>
      </c>
      <c r="E4">
        <f t="shared" si="2"/>
        <v>52.339900325393941</v>
      </c>
    </row>
    <row r="5" spans="1:5" x14ac:dyDescent="0.25">
      <c r="A5">
        <v>1.4999041257869601</v>
      </c>
      <c r="B5">
        <v>3.83313730912566</v>
      </c>
      <c r="C5">
        <f t="shared" si="0"/>
        <v>666.70928015170728</v>
      </c>
      <c r="D5">
        <f t="shared" si="1"/>
        <v>3.8331373091256601E-2</v>
      </c>
      <c r="E5">
        <f t="shared" si="2"/>
        <v>26.088290592128576</v>
      </c>
    </row>
    <row r="6" spans="1:5" x14ac:dyDescent="0.25">
      <c r="A6">
        <v>1.5269353275169599</v>
      </c>
      <c r="B6">
        <v>4.5759097841183403</v>
      </c>
      <c r="C6">
        <f t="shared" si="0"/>
        <v>654.90658443678774</v>
      </c>
      <c r="D6">
        <f t="shared" si="1"/>
        <v>4.5759097841183399E-2</v>
      </c>
      <c r="E6">
        <f t="shared" si="2"/>
        <v>21.853577696630097</v>
      </c>
    </row>
    <row r="7" spans="1:5" x14ac:dyDescent="0.25">
      <c r="A7">
        <v>1.53912733160759</v>
      </c>
      <c r="B7">
        <v>6.2101694189156103</v>
      </c>
      <c r="C7">
        <f t="shared" si="0"/>
        <v>649.71882407904388</v>
      </c>
      <c r="D7">
        <f t="shared" si="1"/>
        <v>6.2101694189156099E-2</v>
      </c>
      <c r="E7">
        <f t="shared" si="2"/>
        <v>16.102620275609407</v>
      </c>
    </row>
    <row r="8" spans="1:5" x14ac:dyDescent="0.25">
      <c r="A8">
        <v>1.6636199972302901</v>
      </c>
      <c r="B8">
        <v>8.6365347053729398</v>
      </c>
      <c r="C8">
        <f t="shared" si="0"/>
        <v>601.09880962291231</v>
      </c>
      <c r="D8">
        <f t="shared" si="1"/>
        <v>8.6365347053729391E-2</v>
      </c>
      <c r="E8">
        <f t="shared" si="2"/>
        <v>11.578718017283975</v>
      </c>
    </row>
    <row r="9" spans="1:5" x14ac:dyDescent="0.25">
      <c r="A9">
        <v>1.7613424520362599</v>
      </c>
      <c r="B9">
        <v>9.64017417489762</v>
      </c>
      <c r="C9">
        <f t="shared" si="0"/>
        <v>567.74876392941985</v>
      </c>
      <c r="D9">
        <f t="shared" si="1"/>
        <v>9.64017417489762E-2</v>
      </c>
      <c r="E9">
        <f t="shared" si="2"/>
        <v>10.373256560072683</v>
      </c>
    </row>
    <row r="10" spans="1:5" x14ac:dyDescent="0.25">
      <c r="A10">
        <v>1.8158895529065799</v>
      </c>
      <c r="B10">
        <v>12.6896100316792</v>
      </c>
      <c r="C10">
        <f t="shared" si="0"/>
        <v>550.69428556343803</v>
      </c>
      <c r="D10">
        <f t="shared" si="1"/>
        <v>0.12689610031679199</v>
      </c>
      <c r="E10">
        <f t="shared" si="2"/>
        <v>7.8804628156699259</v>
      </c>
    </row>
    <row r="11" spans="1:5" x14ac:dyDescent="0.25">
      <c r="A11">
        <v>2.0654714348108598</v>
      </c>
      <c r="B11">
        <v>22.257690857724199</v>
      </c>
      <c r="C11">
        <f t="shared" si="0"/>
        <v>484.15097064345139</v>
      </c>
      <c r="D11">
        <f t="shared" si="1"/>
        <v>0.22257690857724199</v>
      </c>
      <c r="E11">
        <f t="shared" si="2"/>
        <v>4.4928290467875058</v>
      </c>
    </row>
    <row r="12" spans="1:5" x14ac:dyDescent="0.25">
      <c r="A12">
        <v>2.1347085956558298</v>
      </c>
      <c r="B12">
        <v>26.408921347000401</v>
      </c>
      <c r="C12">
        <f t="shared" si="0"/>
        <v>468.44801301452475</v>
      </c>
      <c r="D12">
        <f t="shared" si="1"/>
        <v>0.26408921347000403</v>
      </c>
      <c r="E12">
        <f t="shared" si="2"/>
        <v>3.7865991831339327</v>
      </c>
    </row>
    <row r="13" spans="1:5" x14ac:dyDescent="0.25">
      <c r="A13">
        <v>2.3172158128535298</v>
      </c>
      <c r="B13">
        <v>27.3946516607215</v>
      </c>
      <c r="C13">
        <f t="shared" si="0"/>
        <v>431.55238042698852</v>
      </c>
      <c r="D13">
        <f t="shared" si="1"/>
        <v>0.27394651660721503</v>
      </c>
      <c r="E13">
        <f t="shared" si="2"/>
        <v>3.6503475655936217</v>
      </c>
    </row>
    <row r="14" spans="1:5" x14ac:dyDescent="0.25">
      <c r="A14">
        <v>2.6688824262567499</v>
      </c>
      <c r="B14">
        <v>26.248116395757101</v>
      </c>
      <c r="C14">
        <f t="shared" si="0"/>
        <v>374.68866749688686</v>
      </c>
      <c r="D14">
        <f t="shared" si="1"/>
        <v>0.26248116395757104</v>
      </c>
      <c r="E14">
        <f t="shared" si="2"/>
        <v>3.8097971866722053</v>
      </c>
    </row>
    <row r="15" spans="1:5" x14ac:dyDescent="0.25">
      <c r="A15">
        <v>3.0490343336209502</v>
      </c>
      <c r="B15">
        <v>23.659485980942399</v>
      </c>
      <c r="C15">
        <f t="shared" si="0"/>
        <v>327.97269252538302</v>
      </c>
      <c r="D15">
        <f t="shared" si="1"/>
        <v>0.23659485980942399</v>
      </c>
      <c r="E15">
        <f t="shared" si="2"/>
        <v>4.2266345127087508</v>
      </c>
    </row>
    <row r="16" spans="1:5" x14ac:dyDescent="0.25">
      <c r="A16">
        <v>3.1765097525380002</v>
      </c>
      <c r="B16">
        <v>20.185512843657399</v>
      </c>
      <c r="C16">
        <f t="shared" si="0"/>
        <v>314.81093335256088</v>
      </c>
      <c r="D16">
        <f t="shared" si="1"/>
        <v>0.20185512843657399</v>
      </c>
      <c r="E16">
        <f t="shared" si="2"/>
        <v>4.954048023180226</v>
      </c>
    </row>
    <row r="17" spans="1:5" x14ac:dyDescent="0.25">
      <c r="A17">
        <v>3.2895561023936501</v>
      </c>
      <c r="B17">
        <v>18.306253391962102</v>
      </c>
      <c r="C17">
        <f t="shared" si="0"/>
        <v>303.99238343202251</v>
      </c>
      <c r="D17">
        <f t="shared" si="1"/>
        <v>0.18306253391962102</v>
      </c>
      <c r="E17">
        <f t="shared" si="2"/>
        <v>5.4626142148730406</v>
      </c>
    </row>
    <row r="18" spans="1:5" x14ac:dyDescent="0.25">
      <c r="A18">
        <v>3.6845844918133999</v>
      </c>
      <c r="B18">
        <v>14.4261749149588</v>
      </c>
      <c r="C18">
        <f t="shared" si="0"/>
        <v>271.40102288924345</v>
      </c>
      <c r="D18">
        <f t="shared" si="1"/>
        <v>0.144261749149588</v>
      </c>
      <c r="E18">
        <f t="shared" si="2"/>
        <v>6.9318444140246713</v>
      </c>
    </row>
    <row r="19" spans="1:5" x14ac:dyDescent="0.25">
      <c r="A19">
        <v>8.7821471562643101</v>
      </c>
      <c r="B19">
        <v>3.1913819164703798</v>
      </c>
      <c r="C19">
        <f t="shared" si="0"/>
        <v>113.86737004135708</v>
      </c>
      <c r="D19">
        <f t="shared" si="1"/>
        <v>3.1913819164703795E-2</v>
      </c>
      <c r="E19">
        <f t="shared" si="2"/>
        <v>31.334388242256665</v>
      </c>
    </row>
    <row r="20" spans="1:5" x14ac:dyDescent="0.25">
      <c r="A20">
        <v>12.6352678618985</v>
      </c>
      <c r="B20">
        <v>2.4096993733784902</v>
      </c>
      <c r="C20">
        <f t="shared" si="0"/>
        <v>79.143553657100384</v>
      </c>
      <c r="D20">
        <f t="shared" si="1"/>
        <v>2.4096993733784901E-2</v>
      </c>
      <c r="E20">
        <f t="shared" si="2"/>
        <v>41.498952568426077</v>
      </c>
    </row>
    <row r="21" spans="1:5" x14ac:dyDescent="0.25">
      <c r="A21">
        <v>13.450640759323701</v>
      </c>
      <c r="B21">
        <v>2.3659485980942399</v>
      </c>
      <c r="C21">
        <f t="shared" si="0"/>
        <v>74.345900533163899</v>
      </c>
      <c r="D21">
        <f t="shared" si="1"/>
        <v>2.3659485980942398E-2</v>
      </c>
      <c r="E21">
        <f t="shared" si="2"/>
        <v>42.266345127087511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GeEcond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2024-03-28T16:40:29Z</dcterms:created>
  <dcterms:modified xsi:type="dcterms:W3CDTF">2024-04-24T21:17:25Z</dcterms:modified>
</cp:coreProperties>
</file>