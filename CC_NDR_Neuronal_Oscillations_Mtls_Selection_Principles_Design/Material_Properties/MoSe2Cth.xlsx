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Material properties\"/>
    </mc:Choice>
  </mc:AlternateContent>
  <xr:revisionPtr revIDLastSave="0" documentId="8_{52356AA7-06C5-4D1E-BC40-1E3C3EFBA4A8}" xr6:coauthVersionLast="36" xr6:coauthVersionMax="36" xr10:uidLastSave="{00000000-0000-0000-0000-000000000000}"/>
  <bookViews>
    <workbookView xWindow="0" yWindow="0" windowWidth="28800" windowHeight="14025"/>
  </bookViews>
  <sheets>
    <sheet name="Sheet1" sheetId="2" r:id="rId1"/>
    <sheet name="MoSe2Cth" sheetId="1" r:id="rId2"/>
  </sheets>
  <calcPr calcId="0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2" i="1"/>
  <c r="G3" i="1"/>
  <c r="G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2" i="1"/>
</calcChain>
</file>

<file path=xl/sharedStrings.xml><?xml version="1.0" encoding="utf-8"?>
<sst xmlns="http://schemas.openxmlformats.org/spreadsheetml/2006/main" count="8" uniqueCount="6">
  <si>
    <t>T</t>
  </si>
  <si>
    <t>J/molK</t>
  </si>
  <si>
    <t>Cp (cal/molK)</t>
  </si>
  <si>
    <t>Density</t>
  </si>
  <si>
    <t>Mass</t>
  </si>
  <si>
    <t>J/m^3K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</si>
</sst>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abSelected="1" workbookViewId="0">
      <selection activeCell="F31" sqref="F31"/>
    </sheetView>
  </sheetViews>
  <sheetFormatPr defaultRowHeight="15" x14ac:dyDescent="0.25"/>
  <sheetData>
    <row r="1" spans="1:2" x14ac:dyDescent="0.25">
      <c r="A1" t="s">
        <v>0</v>
      </c>
      <c r="B1" t="s">
        <v>5</v>
      </c>
    </row>
    <row r="2" spans="1:2" x14ac:dyDescent="0.25">
      <c r="A2">
        <v>22.271080310971801</v>
      </c>
      <c r="B2">
        <v>56775.251127967989</v>
      </c>
    </row>
    <row r="3" spans="1:2" x14ac:dyDescent="0.25">
      <c r="A3">
        <v>30.358462025538898</v>
      </c>
      <c r="B3">
        <v>127920.33751887374</v>
      </c>
    </row>
    <row r="4" spans="1:2" x14ac:dyDescent="0.25">
      <c r="A4">
        <v>35.037112604214201</v>
      </c>
      <c r="B4">
        <v>172838.07424835602</v>
      </c>
    </row>
    <row r="5" spans="1:2" x14ac:dyDescent="0.25">
      <c r="A5">
        <v>38.0078798325534</v>
      </c>
      <c r="B5">
        <v>208370.61233450251</v>
      </c>
    </row>
    <row r="6" spans="1:2" x14ac:dyDescent="0.25">
      <c r="A6">
        <v>38.846870932563903</v>
      </c>
      <c r="B6">
        <v>228909.23545252616</v>
      </c>
    </row>
    <row r="7" spans="1:2" x14ac:dyDescent="0.25">
      <c r="A7">
        <v>41.395504274105399</v>
      </c>
      <c r="B7">
        <v>256968.81912019473</v>
      </c>
    </row>
    <row r="8" spans="1:2" x14ac:dyDescent="0.25">
      <c r="A8">
        <v>43.518485946459201</v>
      </c>
      <c r="B8">
        <v>281283.92455676355</v>
      </c>
    </row>
    <row r="9" spans="1:2" x14ac:dyDescent="0.25">
      <c r="A9">
        <v>46.049530376050797</v>
      </c>
      <c r="B9">
        <v>327985.88916132064</v>
      </c>
    </row>
    <row r="10" spans="1:2" x14ac:dyDescent="0.25">
      <c r="A10">
        <v>51.561895381151601</v>
      </c>
      <c r="B10">
        <v>399034.96328989213</v>
      </c>
    </row>
    <row r="11" spans="1:2" x14ac:dyDescent="0.25">
      <c r="A11">
        <v>57.907974812677899</v>
      </c>
      <c r="B11">
        <v>496215.37481755269</v>
      </c>
    </row>
    <row r="12" spans="1:2" x14ac:dyDescent="0.25">
      <c r="A12">
        <v>61.712456467442799</v>
      </c>
      <c r="B12">
        <v>557879.25030278822</v>
      </c>
    </row>
    <row r="13" spans="1:2" x14ac:dyDescent="0.25">
      <c r="A13">
        <v>63.824884792626598</v>
      </c>
      <c r="B13">
        <v>593379.78430149157</v>
      </c>
    </row>
    <row r="14" spans="1:2" x14ac:dyDescent="0.25">
      <c r="A14">
        <v>68.902803672564602</v>
      </c>
      <c r="B14">
        <v>670005.57066740457</v>
      </c>
    </row>
    <row r="15" spans="1:2" x14ac:dyDescent="0.25">
      <c r="A15">
        <v>75.683329229253701</v>
      </c>
      <c r="B15">
        <v>761609.2699577224</v>
      </c>
    </row>
    <row r="16" spans="1:2" x14ac:dyDescent="0.25">
      <c r="A16">
        <v>82.036444225560103</v>
      </c>
      <c r="B16">
        <v>851332.72911062662</v>
      </c>
    </row>
    <row r="17" spans="1:2" x14ac:dyDescent="0.25">
      <c r="A17">
        <v>88.389559221866406</v>
      </c>
      <c r="B17">
        <v>941056.18826353305</v>
      </c>
    </row>
    <row r="18" spans="1:2" x14ac:dyDescent="0.25">
      <c r="A18">
        <v>96.885003693671393</v>
      </c>
      <c r="B18">
        <v>1034588.1338224281</v>
      </c>
    </row>
    <row r="19" spans="1:2" x14ac:dyDescent="0.25">
      <c r="A19">
        <v>106.64860871706399</v>
      </c>
      <c r="B19">
        <v>1148674.7045430627</v>
      </c>
    </row>
    <row r="20" spans="1:2" x14ac:dyDescent="0.25">
      <c r="A20">
        <v>118.57037323671101</v>
      </c>
      <c r="B20">
        <v>1249791.6188264966</v>
      </c>
    </row>
    <row r="21" spans="1:2" x14ac:dyDescent="0.25">
      <c r="A21">
        <v>125.790621592148</v>
      </c>
      <c r="B21">
        <v>1330225.8915984083</v>
      </c>
    </row>
    <row r="22" spans="1:2" x14ac:dyDescent="0.25">
      <c r="A22">
        <v>136.02033278221401</v>
      </c>
      <c r="B22">
        <v>1405179.4643953061</v>
      </c>
    </row>
    <row r="23" spans="1:2" x14ac:dyDescent="0.25">
      <c r="A23">
        <v>149.66581067295101</v>
      </c>
      <c r="B23">
        <v>1498903.4344788704</v>
      </c>
    </row>
    <row r="24" spans="1:2" x14ac:dyDescent="0.25">
      <c r="A24">
        <v>161.19710134731</v>
      </c>
      <c r="B24">
        <v>1558991.1086574253</v>
      </c>
    </row>
    <row r="25" spans="1:2" x14ac:dyDescent="0.25">
      <c r="A25">
        <v>171.45671368769101</v>
      </c>
      <c r="B25">
        <v>1602252.6338616146</v>
      </c>
    </row>
    <row r="26" spans="1:2" x14ac:dyDescent="0.25">
      <c r="A26">
        <v>182.14549547964901</v>
      </c>
      <c r="B26">
        <v>1645530.1611095269</v>
      </c>
    </row>
    <row r="27" spans="1:2" x14ac:dyDescent="0.25">
      <c r="A27">
        <v>191.55204559045899</v>
      </c>
      <c r="B27">
        <v>1683166.9679451971</v>
      </c>
    </row>
    <row r="28" spans="1:2" x14ac:dyDescent="0.25">
      <c r="A28">
        <v>201.391282935237</v>
      </c>
      <c r="B28">
        <v>1717091.3006372156</v>
      </c>
    </row>
    <row r="29" spans="1:2" x14ac:dyDescent="0.25">
      <c r="A29">
        <v>212.09061807436501</v>
      </c>
      <c r="B29">
        <v>1749183.3993229922</v>
      </c>
    </row>
    <row r="30" spans="1:2" x14ac:dyDescent="0.25">
      <c r="A30">
        <v>222.36781932669601</v>
      </c>
      <c r="B30">
        <v>1773802.5435902963</v>
      </c>
    </row>
    <row r="31" spans="1:2" x14ac:dyDescent="0.25">
      <c r="A31">
        <v>231.78668167587099</v>
      </c>
      <c r="B31">
        <v>1798389.6837701437</v>
      </c>
    </row>
    <row r="32" spans="1:2" x14ac:dyDescent="0.25">
      <c r="A32">
        <v>241.20730291624099</v>
      </c>
      <c r="B32">
        <v>1821112.5858563152</v>
      </c>
    </row>
    <row r="33" spans="1:2" x14ac:dyDescent="0.25">
      <c r="A33">
        <v>258.34066204664498</v>
      </c>
      <c r="B33">
        <v>1857173.1913853071</v>
      </c>
    </row>
    <row r="34" spans="1:2" x14ac:dyDescent="0.25">
      <c r="A34">
        <v>268.62313997256098</v>
      </c>
      <c r="B34">
        <v>1876199.6213715377</v>
      </c>
    </row>
    <row r="35" spans="1:2" x14ac:dyDescent="0.25">
      <c r="A35">
        <v>278.90210011608599</v>
      </c>
      <c r="B35">
        <v>1898954.5275451548</v>
      </c>
    </row>
    <row r="36" spans="1:2" x14ac:dyDescent="0.25">
      <c r="A36">
        <v>310.621943926548</v>
      </c>
      <c r="B36">
        <v>1941151.9168417819</v>
      </c>
    </row>
    <row r="37" spans="1:2" x14ac:dyDescent="0.25">
      <c r="A37">
        <v>331.628381468322</v>
      </c>
      <c r="B37">
        <v>1966171.1122021438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>
      <selection activeCell="C45" sqref="C45"/>
    </sheetView>
  </sheetViews>
  <sheetFormatPr defaultRowHeight="15" x14ac:dyDescent="0.25"/>
  <sheetData>
    <row r="1" spans="1:7" x14ac:dyDescent="0.25">
      <c r="A1" t="s">
        <v>0</v>
      </c>
      <c r="B1" t="s">
        <v>2</v>
      </c>
      <c r="C1" t="s">
        <v>1</v>
      </c>
      <c r="D1" t="s">
        <v>5</v>
      </c>
    </row>
    <row r="2" spans="1:7" x14ac:dyDescent="0.25">
      <c r="A2">
        <v>22.271080310971801</v>
      </c>
      <c r="B2">
        <v>0.49924367678616799</v>
      </c>
      <c r="C2">
        <f>B2*4.184</f>
        <v>2.0888355436733268</v>
      </c>
      <c r="D2">
        <f>C2*$G$2/$G$3</f>
        <v>56775.251127967989</v>
      </c>
      <c r="F2" t="s">
        <v>3</v>
      </c>
      <c r="G2">
        <f xml:space="preserve"> 6.9*10^6</f>
        <v>6900000</v>
      </c>
    </row>
    <row r="3" spans="1:7" x14ac:dyDescent="0.25">
      <c r="A3">
        <v>30.358462025538898</v>
      </c>
      <c r="B3">
        <v>1.1248460970204399</v>
      </c>
      <c r="C3">
        <f t="shared" ref="C3:C37" si="0">B3*4.184</f>
        <v>4.7063560699335207</v>
      </c>
      <c r="D3">
        <f t="shared" ref="D3:D37" si="1">C3*$G$2/$G$3</f>
        <v>127920.33751887374</v>
      </c>
      <c r="F3" t="s">
        <v>4</v>
      </c>
      <c r="G3">
        <f>253.86</f>
        <v>253.86</v>
      </c>
    </row>
    <row r="4" spans="1:7" x14ac:dyDescent="0.25">
      <c r="A4">
        <v>35.037112604214201</v>
      </c>
      <c r="B4">
        <v>1.51982270376755</v>
      </c>
      <c r="C4">
        <f t="shared" si="0"/>
        <v>6.3589381925634294</v>
      </c>
      <c r="D4">
        <f t="shared" si="1"/>
        <v>172838.07424835602</v>
      </c>
    </row>
    <row r="5" spans="1:7" x14ac:dyDescent="0.25">
      <c r="A5">
        <v>38.0078798325534</v>
      </c>
      <c r="B5">
        <v>1.8322721356456899</v>
      </c>
      <c r="C5">
        <f t="shared" si="0"/>
        <v>7.666226615541567</v>
      </c>
      <c r="D5">
        <f t="shared" si="1"/>
        <v>208370.61233450251</v>
      </c>
    </row>
    <row r="6" spans="1:7" x14ac:dyDescent="0.25">
      <c r="A6">
        <v>38.846870932563903</v>
      </c>
      <c r="B6">
        <v>2.0128750835473399</v>
      </c>
      <c r="C6">
        <f t="shared" si="0"/>
        <v>8.4218693495620709</v>
      </c>
      <c r="D6">
        <f t="shared" si="1"/>
        <v>228909.23545252616</v>
      </c>
    </row>
    <row r="7" spans="1:7" x14ac:dyDescent="0.25">
      <c r="A7">
        <v>41.395504274105399</v>
      </c>
      <c r="B7">
        <v>2.2596123403806301</v>
      </c>
      <c r="C7">
        <f t="shared" si="0"/>
        <v>9.4542180321525571</v>
      </c>
      <c r="D7">
        <f t="shared" si="1"/>
        <v>256968.81912019473</v>
      </c>
    </row>
    <row r="8" spans="1:7" x14ac:dyDescent="0.25">
      <c r="A8">
        <v>43.518485946459201</v>
      </c>
      <c r="B8">
        <v>2.4734231540436999</v>
      </c>
      <c r="C8">
        <f t="shared" si="0"/>
        <v>10.348802476518841</v>
      </c>
      <c r="D8">
        <f t="shared" si="1"/>
        <v>281283.92455676355</v>
      </c>
    </row>
    <row r="9" spans="1:7" x14ac:dyDescent="0.25">
      <c r="A9">
        <v>46.049530376050797</v>
      </c>
      <c r="B9">
        <v>2.8840890702501198</v>
      </c>
      <c r="C9">
        <f t="shared" si="0"/>
        <v>12.067028669926502</v>
      </c>
      <c r="D9">
        <f t="shared" si="1"/>
        <v>327985.88916132064</v>
      </c>
    </row>
    <row r="10" spans="1:7" x14ac:dyDescent="0.25">
      <c r="A10">
        <v>51.561895381151601</v>
      </c>
      <c r="B10">
        <v>3.5088472227108101</v>
      </c>
      <c r="C10">
        <f t="shared" si="0"/>
        <v>14.681016779822031</v>
      </c>
      <c r="D10">
        <f t="shared" si="1"/>
        <v>399034.96328989213</v>
      </c>
    </row>
    <row r="11" spans="1:7" x14ac:dyDescent="0.25">
      <c r="A11">
        <v>57.907974812677899</v>
      </c>
      <c r="B11">
        <v>4.3633869208850804</v>
      </c>
      <c r="C11">
        <f t="shared" si="0"/>
        <v>18.256410876983178</v>
      </c>
      <c r="D11">
        <f t="shared" si="1"/>
        <v>496215.37481755269</v>
      </c>
    </row>
    <row r="12" spans="1:7" x14ac:dyDescent="0.25">
      <c r="A12">
        <v>61.712456467442799</v>
      </c>
      <c r="B12">
        <v>4.9056178984768</v>
      </c>
      <c r="C12">
        <f t="shared" si="0"/>
        <v>20.525105287226932</v>
      </c>
      <c r="D12">
        <f t="shared" si="1"/>
        <v>557879.25030278822</v>
      </c>
    </row>
    <row r="13" spans="1:7" x14ac:dyDescent="0.25">
      <c r="A13">
        <v>63.824884792626598</v>
      </c>
      <c r="B13">
        <v>5.2177859077637603</v>
      </c>
      <c r="C13">
        <f t="shared" si="0"/>
        <v>21.831216238083574</v>
      </c>
      <c r="D13">
        <f t="shared" si="1"/>
        <v>593379.78430149157</v>
      </c>
    </row>
    <row r="14" spans="1:7" x14ac:dyDescent="0.25">
      <c r="A14">
        <v>68.902803672564602</v>
      </c>
      <c r="B14">
        <v>5.8915819467407697</v>
      </c>
      <c r="C14">
        <f t="shared" si="0"/>
        <v>24.650378865163383</v>
      </c>
      <c r="D14">
        <f t="shared" si="1"/>
        <v>670005.57066740457</v>
      </c>
    </row>
    <row r="15" spans="1:7" x14ac:dyDescent="0.25">
      <c r="A15">
        <v>75.683329229253701</v>
      </c>
      <c r="B15">
        <v>6.6970837583987102</v>
      </c>
      <c r="C15">
        <f t="shared" si="0"/>
        <v>28.020598445140205</v>
      </c>
      <c r="D15">
        <f t="shared" si="1"/>
        <v>761609.2699577224</v>
      </c>
    </row>
    <row r="16" spans="1:7" x14ac:dyDescent="0.25">
      <c r="A16">
        <v>82.036444225560103</v>
      </c>
      <c r="B16">
        <v>7.4860519928237199</v>
      </c>
      <c r="C16">
        <f t="shared" si="0"/>
        <v>31.321641537974447</v>
      </c>
      <c r="D16">
        <f t="shared" si="1"/>
        <v>851332.72911062662</v>
      </c>
    </row>
    <row r="17" spans="1:4" x14ac:dyDescent="0.25">
      <c r="A17">
        <v>88.389559221866406</v>
      </c>
      <c r="B17">
        <v>8.2750202272487492</v>
      </c>
      <c r="C17">
        <f t="shared" si="0"/>
        <v>34.62268463080877</v>
      </c>
      <c r="D17">
        <f t="shared" si="1"/>
        <v>941056.18826353305</v>
      </c>
    </row>
    <row r="18" spans="1:4" x14ac:dyDescent="0.25">
      <c r="A18">
        <v>96.885003693671393</v>
      </c>
      <c r="B18">
        <v>9.0974777500263801</v>
      </c>
      <c r="C18">
        <f t="shared" si="0"/>
        <v>38.063846906110378</v>
      </c>
      <c r="D18">
        <f t="shared" si="1"/>
        <v>1034588.1338224281</v>
      </c>
    </row>
    <row r="19" spans="1:4" x14ac:dyDescent="0.25">
      <c r="A19">
        <v>106.64860871706399</v>
      </c>
      <c r="B19">
        <v>10.1006789320012</v>
      </c>
      <c r="C19">
        <f t="shared" si="0"/>
        <v>42.261240651493026</v>
      </c>
      <c r="D19">
        <f t="shared" si="1"/>
        <v>1148674.7045430627</v>
      </c>
    </row>
    <row r="20" spans="1:4" x14ac:dyDescent="0.25">
      <c r="A20">
        <v>118.57037323671101</v>
      </c>
      <c r="B20">
        <v>10.9898336088929</v>
      </c>
      <c r="C20">
        <f t="shared" si="0"/>
        <v>45.981463819607896</v>
      </c>
      <c r="D20">
        <f t="shared" si="1"/>
        <v>1249791.6188264966</v>
      </c>
    </row>
    <row r="21" spans="1:4" x14ac:dyDescent="0.25">
      <c r="A21">
        <v>125.790621592148</v>
      </c>
      <c r="B21">
        <v>11.6971189362226</v>
      </c>
      <c r="C21">
        <f t="shared" si="0"/>
        <v>48.940745629155359</v>
      </c>
      <c r="D21">
        <f t="shared" si="1"/>
        <v>1330225.8915984083</v>
      </c>
    </row>
    <row r="22" spans="1:4" x14ac:dyDescent="0.25">
      <c r="A22">
        <v>136.02033278221401</v>
      </c>
      <c r="B22">
        <v>12.356210644809501</v>
      </c>
      <c r="C22">
        <f t="shared" si="0"/>
        <v>51.698385337882954</v>
      </c>
      <c r="D22">
        <f t="shared" si="1"/>
        <v>1405179.4643953061</v>
      </c>
    </row>
    <row r="23" spans="1:4" x14ac:dyDescent="0.25">
      <c r="A23">
        <v>149.66581067295101</v>
      </c>
      <c r="B23">
        <v>13.180356703134301</v>
      </c>
      <c r="C23">
        <f t="shared" si="0"/>
        <v>55.146612445913917</v>
      </c>
      <c r="D23">
        <f t="shared" si="1"/>
        <v>1498903.4344788704</v>
      </c>
    </row>
    <row r="24" spans="1:4" x14ac:dyDescent="0.25">
      <c r="A24">
        <v>161.19710134731</v>
      </c>
      <c r="B24">
        <v>13.708727618109499</v>
      </c>
      <c r="C24">
        <f t="shared" si="0"/>
        <v>57.357316354170145</v>
      </c>
      <c r="D24">
        <f t="shared" si="1"/>
        <v>1558991.1086574253</v>
      </c>
    </row>
    <row r="25" spans="1:4" x14ac:dyDescent="0.25">
      <c r="A25">
        <v>171.45671368769101</v>
      </c>
      <c r="B25">
        <v>14.0891406057621</v>
      </c>
      <c r="C25">
        <f t="shared" si="0"/>
        <v>58.948964294508627</v>
      </c>
      <c r="D25">
        <f t="shared" si="1"/>
        <v>1602252.6338616146</v>
      </c>
    </row>
    <row r="26" spans="1:4" x14ac:dyDescent="0.25">
      <c r="A26">
        <v>182.14549547964901</v>
      </c>
      <c r="B26">
        <v>14.4696943047103</v>
      </c>
      <c r="C26">
        <f t="shared" si="0"/>
        <v>60.541200970907902</v>
      </c>
      <c r="D26">
        <f t="shared" si="1"/>
        <v>1645530.1611095269</v>
      </c>
    </row>
    <row r="27" spans="1:4" x14ac:dyDescent="0.25">
      <c r="A27">
        <v>191.55204559045899</v>
      </c>
      <c r="B27">
        <v>14.800647271959701</v>
      </c>
      <c r="C27">
        <f t="shared" si="0"/>
        <v>61.925908185879393</v>
      </c>
      <c r="D27">
        <f t="shared" si="1"/>
        <v>1683166.9679451971</v>
      </c>
    </row>
    <row r="28" spans="1:4" x14ac:dyDescent="0.25">
      <c r="A28">
        <v>201.391282935237</v>
      </c>
      <c r="B28">
        <v>15.098955218630101</v>
      </c>
      <c r="C28">
        <f t="shared" si="0"/>
        <v>63.174028634748346</v>
      </c>
      <c r="D28">
        <f t="shared" si="1"/>
        <v>1717091.3006372156</v>
      </c>
    </row>
    <row r="29" spans="1:4" x14ac:dyDescent="0.25">
      <c r="A29">
        <v>212.09061807436501</v>
      </c>
      <c r="B29">
        <v>15.381151721954399</v>
      </c>
      <c r="C29">
        <f t="shared" si="0"/>
        <v>64.354738804657217</v>
      </c>
      <c r="D29">
        <f t="shared" si="1"/>
        <v>1749183.3993229922</v>
      </c>
    </row>
    <row r="30" spans="1:4" x14ac:dyDescent="0.25">
      <c r="A30">
        <v>222.36781932669601</v>
      </c>
      <c r="B30">
        <v>15.5976360502339</v>
      </c>
      <c r="C30">
        <f t="shared" si="0"/>
        <v>65.260509234178642</v>
      </c>
      <c r="D30">
        <f t="shared" si="1"/>
        <v>1773802.5435902963</v>
      </c>
    </row>
    <row r="31" spans="1:4" x14ac:dyDescent="0.25">
      <c r="A31">
        <v>231.78668167587099</v>
      </c>
      <c r="B31">
        <v>15.813838955922099</v>
      </c>
      <c r="C31">
        <f t="shared" si="0"/>
        <v>66.165102191578072</v>
      </c>
      <c r="D31">
        <f t="shared" si="1"/>
        <v>1798389.6837701437</v>
      </c>
    </row>
    <row r="32" spans="1:4" x14ac:dyDescent="0.25">
      <c r="A32">
        <v>241.20730291624099</v>
      </c>
      <c r="B32">
        <v>16.013648995673101</v>
      </c>
      <c r="C32">
        <f t="shared" si="0"/>
        <v>67.001107397896263</v>
      </c>
      <c r="D32">
        <f t="shared" si="1"/>
        <v>1821112.5858563152</v>
      </c>
    </row>
    <row r="33" spans="1:4" x14ac:dyDescent="0.25">
      <c r="A33">
        <v>258.34066204664498</v>
      </c>
      <c r="B33">
        <v>16.330741900305998</v>
      </c>
      <c r="C33">
        <f t="shared" si="0"/>
        <v>68.3278241108803</v>
      </c>
      <c r="D33">
        <f t="shared" si="1"/>
        <v>1857173.1913853071</v>
      </c>
    </row>
    <row r="34" spans="1:4" x14ac:dyDescent="0.25">
      <c r="A34">
        <v>268.62313997256098</v>
      </c>
      <c r="B34">
        <v>16.498047630773499</v>
      </c>
      <c r="C34">
        <f t="shared" si="0"/>
        <v>69.027831287156317</v>
      </c>
      <c r="D34">
        <f t="shared" si="1"/>
        <v>1876199.6213715377</v>
      </c>
    </row>
    <row r="35" spans="1:4" x14ac:dyDescent="0.25">
      <c r="A35">
        <v>278.90210011608599</v>
      </c>
      <c r="B35">
        <v>16.698139093115699</v>
      </c>
      <c r="C35">
        <f t="shared" si="0"/>
        <v>69.865013965596091</v>
      </c>
      <c r="D35">
        <f t="shared" si="1"/>
        <v>1898954.5275451548</v>
      </c>
    </row>
    <row r="36" spans="1:4" x14ac:dyDescent="0.25">
      <c r="A36">
        <v>310.621943926548</v>
      </c>
      <c r="B36">
        <v>17.0691947796109</v>
      </c>
      <c r="C36">
        <f t="shared" si="0"/>
        <v>71.417510957892006</v>
      </c>
      <c r="D36">
        <f t="shared" si="1"/>
        <v>1941151.9168417819</v>
      </c>
    </row>
    <row r="37" spans="1:4" x14ac:dyDescent="0.25">
      <c r="A37">
        <v>331.628381468322</v>
      </c>
      <c r="B37">
        <v>17.289196890280301</v>
      </c>
      <c r="C37">
        <f t="shared" si="0"/>
        <v>72.337999788932791</v>
      </c>
      <c r="D37">
        <f t="shared" si="1"/>
        <v>1966171.1122021438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MoSe2Cth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2024-05-09T16:41:56Z</dcterms:created>
  <dcterms:modified xsi:type="dcterms:W3CDTF">2024-05-09T16:41:56Z</dcterms:modified>
</cp:coreProperties>
</file>