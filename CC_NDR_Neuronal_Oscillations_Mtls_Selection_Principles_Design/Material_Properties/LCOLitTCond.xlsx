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Compact Model\Phase shifts\Phase shift code\Noise model\"/>
    </mc:Choice>
  </mc:AlternateContent>
  <xr:revisionPtr revIDLastSave="0" documentId="13_ncr:1_{4E405703-AE38-4230-9ECB-5D3BAC6C5DB4}" xr6:coauthVersionLast="36" xr6:coauthVersionMax="36" xr10:uidLastSave="{00000000-0000-0000-0000-000000000000}"/>
  <bookViews>
    <workbookView xWindow="0" yWindow="0" windowWidth="21870" windowHeight="13170" firstSheet="7" activeTab="7" xr2:uid="{00000000-000D-0000-FFFF-FFFF00000000}"/>
  </bookViews>
  <sheets>
    <sheet name="LCOktot" sheetId="1" r:id="rId1"/>
    <sheet name="LCOk" sheetId="8" r:id="rId2"/>
    <sheet name="LCOGth" sheetId="4" r:id="rId3"/>
    <sheet name="LCOGthInterp" sheetId="6" r:id="rId4"/>
    <sheet name="LAlO3Gth" sheetId="3" r:id="rId5"/>
    <sheet name="LAlO3" sheetId="2" r:id="rId6"/>
    <sheet name="LAlO3GthInterp" sheetId="5" r:id="rId7"/>
    <sheet name="TotalGth" sheetId="7" r:id="rId8"/>
  </sheets>
  <calcPr calcId="191029"/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F48" i="7" s="1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2" i="7"/>
  <c r="F2" i="7" s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" i="8"/>
  <c r="G7" i="8"/>
  <c r="F7" i="2" l="1"/>
  <c r="G7" i="1"/>
  <c r="C10" i="1" s="1"/>
  <c r="C26" i="2"/>
  <c r="C25" i="2"/>
  <c r="C24" i="2"/>
  <c r="C23" i="2"/>
  <c r="C22" i="2"/>
  <c r="C41" i="2"/>
  <c r="C7" i="2"/>
  <c r="C6" i="2"/>
  <c r="C5" i="2"/>
  <c r="C4" i="2"/>
  <c r="C3" i="2"/>
  <c r="C3" i="1"/>
  <c r="C4" i="1"/>
  <c r="C5" i="1"/>
  <c r="C6" i="1"/>
  <c r="C7" i="1"/>
  <c r="C8" i="1"/>
  <c r="C9" i="1"/>
  <c r="C14" i="1"/>
  <c r="C16" i="1"/>
  <c r="C17" i="1"/>
  <c r="C18" i="1"/>
  <c r="C19" i="1"/>
  <c r="C20" i="1"/>
  <c r="C21" i="1"/>
  <c r="C22" i="1"/>
  <c r="C2" i="1"/>
  <c r="C15" i="1" l="1"/>
  <c r="C11" i="1"/>
  <c r="C13" i="1"/>
  <c r="C12" i="1"/>
  <c r="C27" i="2"/>
  <c r="C9" i="2"/>
  <c r="C29" i="2"/>
  <c r="C11" i="2"/>
  <c r="C31" i="2"/>
  <c r="C13" i="2"/>
  <c r="C33" i="2"/>
  <c r="C34" i="2"/>
  <c r="C15" i="2"/>
  <c r="C35" i="2"/>
  <c r="C14" i="2"/>
  <c r="C37" i="2"/>
  <c r="C18" i="2"/>
  <c r="C38" i="2"/>
  <c r="C30" i="2"/>
  <c r="C12" i="2"/>
  <c r="C17" i="2"/>
  <c r="C19" i="2"/>
  <c r="C39" i="2"/>
  <c r="C28" i="2"/>
  <c r="C10" i="2"/>
  <c r="C32" i="2"/>
  <c r="C36" i="2"/>
  <c r="C20" i="2"/>
  <c r="C40" i="2"/>
  <c r="C8" i="2"/>
  <c r="C16" i="2"/>
  <c r="C2" i="2"/>
  <c r="C21" i="2"/>
</calcChain>
</file>

<file path=xl/sharedStrings.xml><?xml version="1.0" encoding="utf-8"?>
<sst xmlns="http://schemas.openxmlformats.org/spreadsheetml/2006/main" count="42" uniqueCount="23">
  <si>
    <t>T (K)</t>
  </si>
  <si>
    <t>Ktot (W/mK)</t>
  </si>
  <si>
    <t>W</t>
  </si>
  <si>
    <t>L</t>
  </si>
  <si>
    <t>t</t>
  </si>
  <si>
    <t>Scaling factor</t>
  </si>
  <si>
    <t>Gth (W/K)</t>
  </si>
  <si>
    <t>https://www.sciencedirect.com/science/article/pii/S0925838817341166?casa_token=w7C0cCDfZ24AAAAA:DlG1DUDfkt7l5vlEsjVRDtT-Wwo-IN7q7rSvMkrA6PGRTLLhgIJdPCS-VqpnKL6T3gUOsubfae0#fig5</t>
  </si>
  <si>
    <t>Ktot black line from fig 5a</t>
  </si>
  <si>
    <t>K (W/mK)</t>
  </si>
  <si>
    <t>https://www.researchgate.net/figure/Thermal-conductivity-of-RAlO3-R-La-Pr-Nd-and-Gd-The-single-crystal-values-for_fig3_371535121</t>
  </si>
  <si>
    <t>GthLAlO3  (W/K)</t>
  </si>
  <si>
    <t xml:space="preserve">1/Gth Total </t>
  </si>
  <si>
    <t xml:space="preserve"> T (K)</t>
  </si>
  <si>
    <t>Derived Gth from Data (W/K)</t>
  </si>
  <si>
    <t>Ktot black line from fig 5b</t>
  </si>
  <si>
    <t>T(K)</t>
  </si>
  <si>
    <t>k (W/Mk)</t>
  </si>
  <si>
    <t>Gth</t>
  </si>
  <si>
    <t>Gth tot (W/K)</t>
  </si>
  <si>
    <t>Gth elec</t>
  </si>
  <si>
    <t>Gth LCO tot (W/K)</t>
  </si>
  <si>
    <t xml:space="preserve">Gtot series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</si>
</sst>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LCOktot!$B$1</c:f>
              <c:strCache>
                <c:ptCount val="1"/>
                <c:pt idx="0">
                  <c:v>Ktot (W/mK)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LCOktot!$A$2:$A$22</c:f>
              <c:numCache>
                <c:formatCode>General</c:formatCode>
                <c:ptCount val="21"/>
                <c:pt idx="0">
                  <c:v>303.338536246964</c:v>
                </c:pt>
                <c:pt idx="1">
                  <c:v>316.65799514394701</c:v>
                </c:pt>
                <c:pt idx="2">
                  <c:v>329.78017689906301</c:v>
                </c:pt>
                <c:pt idx="3">
                  <c:v>343.30775234131102</c:v>
                </c:pt>
                <c:pt idx="4">
                  <c:v>356.633714880333</c:v>
                </c:pt>
                <c:pt idx="5">
                  <c:v>369.76673603884802</c:v>
                </c:pt>
                <c:pt idx="6">
                  <c:v>383.30731876517501</c:v>
                </c:pt>
                <c:pt idx="7">
                  <c:v>396.650624349635</c:v>
                </c:pt>
                <c:pt idx="8">
                  <c:v>410.40365938258702</c:v>
                </c:pt>
                <c:pt idx="9">
                  <c:v>423.75130072840699</c:v>
                </c:pt>
                <c:pt idx="10">
                  <c:v>436.89299340964197</c:v>
                </c:pt>
                <c:pt idx="11">
                  <c:v>450.23413111342302</c:v>
                </c:pt>
                <c:pt idx="12">
                  <c:v>463.57093305584402</c:v>
                </c:pt>
                <c:pt idx="13">
                  <c:v>477.30445716267701</c:v>
                </c:pt>
                <c:pt idx="14">
                  <c:v>490.63475546305898</c:v>
                </c:pt>
                <c:pt idx="15">
                  <c:v>503.78078390565298</c:v>
                </c:pt>
                <c:pt idx="16">
                  <c:v>517.34521331945803</c:v>
                </c:pt>
                <c:pt idx="17">
                  <c:v>531.08957682969105</c:v>
                </c:pt>
                <c:pt idx="18">
                  <c:v>544.42854665279197</c:v>
                </c:pt>
                <c:pt idx="19">
                  <c:v>557.35561914672201</c:v>
                </c:pt>
                <c:pt idx="20">
                  <c:v>570.90270551508797</c:v>
                </c:pt>
              </c:numCache>
            </c:numRef>
          </c:xVal>
          <c:yVal>
            <c:numRef>
              <c:f>LCOktot!$B$2:$B$22</c:f>
              <c:numCache>
                <c:formatCode>General</c:formatCode>
                <c:ptCount val="21"/>
                <c:pt idx="0">
                  <c:v>1.0752688172042999</c:v>
                </c:pt>
                <c:pt idx="1">
                  <c:v>1.10752688172043</c:v>
                </c:pt>
                <c:pt idx="2">
                  <c:v>1.1505376344086</c:v>
                </c:pt>
                <c:pt idx="3">
                  <c:v>1.19892473118279</c:v>
                </c:pt>
                <c:pt idx="4">
                  <c:v>1.2473118279569799</c:v>
                </c:pt>
                <c:pt idx="5">
                  <c:v>1.3172043010752601</c:v>
                </c:pt>
                <c:pt idx="6">
                  <c:v>1.3978494623655899</c:v>
                </c:pt>
                <c:pt idx="7">
                  <c:v>1.4892473118279499</c:v>
                </c:pt>
                <c:pt idx="8">
                  <c:v>1.5967741935483799</c:v>
                </c:pt>
                <c:pt idx="9">
                  <c:v>1.69892473118279</c:v>
                </c:pt>
                <c:pt idx="10">
                  <c:v>1.7903225806451599</c:v>
                </c:pt>
                <c:pt idx="11">
                  <c:v>1.8763440860214999</c:v>
                </c:pt>
                <c:pt idx="12">
                  <c:v>1.9516129032258001</c:v>
                </c:pt>
                <c:pt idx="13">
                  <c:v>2.0107526881720399</c:v>
                </c:pt>
                <c:pt idx="14">
                  <c:v>2.0698924731182702</c:v>
                </c:pt>
                <c:pt idx="15">
                  <c:v>2.17204301075268</c:v>
                </c:pt>
                <c:pt idx="16">
                  <c:v>2.3118279569892399</c:v>
                </c:pt>
                <c:pt idx="17">
                  <c:v>2.3978494623655902</c:v>
                </c:pt>
                <c:pt idx="18">
                  <c:v>2.47849462365591</c:v>
                </c:pt>
                <c:pt idx="19">
                  <c:v>2.5376344086021501</c:v>
                </c:pt>
                <c:pt idx="20">
                  <c:v>2.63440860215053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DF-4F0C-A8FF-525BC804E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548959"/>
        <c:axId val="1612189807"/>
      </c:scatterChart>
      <c:valAx>
        <c:axId val="147154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189807"/>
        <c:crosses val="autoZero"/>
        <c:crossBetween val="midCat"/>
      </c:valAx>
      <c:valAx>
        <c:axId val="161218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54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LCOk!$B$1</c:f>
              <c:strCache>
                <c:ptCount val="1"/>
                <c:pt idx="0">
                  <c:v>k (W/Mk)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LCOk!$A$2:$A$22</c:f>
              <c:numCache>
                <c:formatCode>General</c:formatCode>
                <c:ptCount val="21"/>
                <c:pt idx="0">
                  <c:v>300.45851670388203</c:v>
                </c:pt>
                <c:pt idx="1">
                  <c:v>320.12270470657</c:v>
                </c:pt>
                <c:pt idx="2">
                  <c:v>340.09257051184699</c:v>
                </c:pt>
                <c:pt idx="3">
                  <c:v>360.05918442560699</c:v>
                </c:pt>
                <c:pt idx="4">
                  <c:v>380.620894486959</c:v>
                </c:pt>
                <c:pt idx="5">
                  <c:v>400.27207492358002</c:v>
                </c:pt>
                <c:pt idx="6">
                  <c:v>420.53461096537802</c:v>
                </c:pt>
                <c:pt idx="7">
                  <c:v>439.893121165477</c:v>
                </c:pt>
                <c:pt idx="8">
                  <c:v>460.754005246384</c:v>
                </c:pt>
                <c:pt idx="9">
                  <c:v>481.01003750514798</c:v>
                </c:pt>
                <c:pt idx="10">
                  <c:v>500.94088061222197</c:v>
                </c:pt>
                <c:pt idx="11">
                  <c:v>521.19691287098601</c:v>
                </c:pt>
                <c:pt idx="12">
                  <c:v>541.12125219502605</c:v>
                </c:pt>
                <c:pt idx="13">
                  <c:v>561.31224662345198</c:v>
                </c:pt>
                <c:pt idx="14">
                  <c:v>581.22683027294102</c:v>
                </c:pt>
                <c:pt idx="15">
                  <c:v>600.80972098770701</c:v>
                </c:pt>
                <c:pt idx="16">
                  <c:v>620.99095974158297</c:v>
                </c:pt>
                <c:pt idx="17">
                  <c:v>641.20471741062704</c:v>
                </c:pt>
                <c:pt idx="18">
                  <c:v>661.09653781949805</c:v>
                </c:pt>
                <c:pt idx="19">
                  <c:v>680.70219177488195</c:v>
                </c:pt>
                <c:pt idx="20">
                  <c:v>700.91269755240899</c:v>
                </c:pt>
              </c:numCache>
            </c:numRef>
          </c:xVal>
          <c:yVal>
            <c:numRef>
              <c:f>LCOk!$B$2:$B$22</c:f>
              <c:numCache>
                <c:formatCode>General</c:formatCode>
                <c:ptCount val="21"/>
                <c:pt idx="0">
                  <c:v>1.8416545624037699E-2</c:v>
                </c:pt>
                <c:pt idx="1">
                  <c:v>1.2687796735100801E-2</c:v>
                </c:pt>
                <c:pt idx="2">
                  <c:v>4.2653977063322702E-3</c:v>
                </c:pt>
                <c:pt idx="3">
                  <c:v>6.5959199601099902E-3</c:v>
                </c:pt>
                <c:pt idx="4">
                  <c:v>8.5091161358863399E-4</c:v>
                </c:pt>
                <c:pt idx="5">
                  <c:v>5.87508400719749E-3</c:v>
                </c:pt>
                <c:pt idx="6">
                  <c:v>5.51195612114363E-3</c:v>
                </c:pt>
                <c:pt idx="7">
                  <c:v>2.4768573720379502E-3</c:v>
                </c:pt>
                <c:pt idx="8">
                  <c:v>7.47935048886749E-3</c:v>
                </c:pt>
                <c:pt idx="9">
                  <c:v>1.2492683244087E-2</c:v>
                </c:pt>
                <c:pt idx="10">
                  <c:v>3.6329048062956303E-2</c:v>
                </c:pt>
                <c:pt idx="11">
                  <c:v>4.1342380818175803E-2</c:v>
                </c:pt>
                <c:pt idx="12">
                  <c:v>7.0555206278318502E-2</c:v>
                </c:pt>
                <c:pt idx="13">
                  <c:v>0.12933314544626701</c:v>
                </c:pt>
                <c:pt idx="14">
                  <c:v>0.16661066186831999</c:v>
                </c:pt>
                <c:pt idx="15">
                  <c:v>0.22808767099529501</c:v>
                </c:pt>
                <c:pt idx="16">
                  <c:v>0.294930301125154</c:v>
                </c:pt>
                <c:pt idx="17">
                  <c:v>0.334890628048647</c:v>
                </c:pt>
                <c:pt idx="18">
                  <c:v>0.39098575671515501</c:v>
                </c:pt>
                <c:pt idx="19">
                  <c:v>0.43364515359767503</c:v>
                </c:pt>
                <c:pt idx="20">
                  <c:v>0.476293710841806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76-46C5-8AB0-C53C09B27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051039"/>
        <c:axId val="1768356271"/>
      </c:scatterChart>
      <c:valAx>
        <c:axId val="192205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56271"/>
        <c:crosses val="autoZero"/>
        <c:crossBetween val="midCat"/>
      </c:valAx>
      <c:valAx>
        <c:axId val="17683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5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LAlO3Gth!$B$1</c:f>
              <c:strCache>
                <c:ptCount val="1"/>
                <c:pt idx="0">
                  <c:v>Gth (W/K)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LAlO3Gth!$A$2:$A$41</c:f>
              <c:numCache>
                <c:formatCode>General</c:formatCode>
                <c:ptCount val="40"/>
                <c:pt idx="0">
                  <c:v>300.33981531037801</c:v>
                </c:pt>
                <c:pt idx="1">
                  <c:v>314.088742768305</c:v>
                </c:pt>
                <c:pt idx="2">
                  <c:v>333.45821545989702</c:v>
                </c:pt>
                <c:pt idx="3">
                  <c:v>353.45634647569</c:v>
                </c:pt>
                <c:pt idx="4">
                  <c:v>373.45107933837897</c:v>
                </c:pt>
                <c:pt idx="5">
                  <c:v>393.45090943072398</c:v>
                </c:pt>
                <c:pt idx="6">
                  <c:v>413.455836752724</c:v>
                </c:pt>
                <c:pt idx="7">
                  <c:v>433.45736592162098</c:v>
                </c:pt>
                <c:pt idx="8">
                  <c:v>453.46569139672499</c:v>
                </c:pt>
                <c:pt idx="9">
                  <c:v>473.47911410148498</c:v>
                </c:pt>
                <c:pt idx="10">
                  <c:v>493.490837729693</c:v>
                </c:pt>
                <c:pt idx="11">
                  <c:v>513.50765858755699</c:v>
                </c:pt>
                <c:pt idx="12">
                  <c:v>533.52787759852504</c:v>
                </c:pt>
                <c:pt idx="13">
                  <c:v>553.54809660949195</c:v>
                </c:pt>
                <c:pt idx="14">
                  <c:v>572.94475452591496</c:v>
                </c:pt>
                <c:pt idx="15">
                  <c:v>592.97516799619405</c:v>
                </c:pt>
                <c:pt idx="16">
                  <c:v>613.63254071412098</c:v>
                </c:pt>
                <c:pt idx="17">
                  <c:v>633.03599493675097</c:v>
                </c:pt>
                <c:pt idx="18">
                  <c:v>653.69676580778298</c:v>
                </c:pt>
                <c:pt idx="19">
                  <c:v>673.105317260069</c:v>
                </c:pt>
                <c:pt idx="20">
                  <c:v>693.77118536075602</c:v>
                </c:pt>
                <c:pt idx="21">
                  <c:v>713.18483404269705</c:v>
                </c:pt>
                <c:pt idx="22">
                  <c:v>733.22544197228797</c:v>
                </c:pt>
                <c:pt idx="23">
                  <c:v>753.26774897842995</c:v>
                </c:pt>
                <c:pt idx="24">
                  <c:v>772.68819396657898</c:v>
                </c:pt>
                <c:pt idx="25">
                  <c:v>783.33800579385104</c:v>
                </c:pt>
                <c:pt idx="26">
                  <c:v>793.99121577422602</c:v>
                </c:pt>
                <c:pt idx="27">
                  <c:v>803.39050725930394</c:v>
                </c:pt>
                <c:pt idx="28">
                  <c:v>813.41845706858305</c:v>
                </c:pt>
                <c:pt idx="29">
                  <c:v>823.454902260621</c:v>
                </c:pt>
                <c:pt idx="30">
                  <c:v>834.10981131754897</c:v>
                </c:pt>
                <c:pt idx="31">
                  <c:v>842.88044447842503</c:v>
                </c:pt>
                <c:pt idx="32">
                  <c:v>853.53195538224895</c:v>
                </c:pt>
                <c:pt idx="33">
                  <c:v>873.58275777115102</c:v>
                </c:pt>
                <c:pt idx="34">
                  <c:v>893.63356016005298</c:v>
                </c:pt>
                <c:pt idx="35">
                  <c:v>913.05570422475296</c:v>
                </c:pt>
                <c:pt idx="36">
                  <c:v>933.101409383999</c:v>
                </c:pt>
                <c:pt idx="37">
                  <c:v>953.15391084945304</c:v>
                </c:pt>
                <c:pt idx="38">
                  <c:v>973.20301416180303</c:v>
                </c:pt>
                <c:pt idx="39">
                  <c:v>993.25211747415199</c:v>
                </c:pt>
              </c:numCache>
            </c:numRef>
          </c:xVal>
          <c:yVal>
            <c:numRef>
              <c:f>LAlO3Gth!$B$2:$B$41</c:f>
              <c:numCache>
                <c:formatCode>General</c:formatCode>
                <c:ptCount val="40"/>
                <c:pt idx="0">
                  <c:v>6.2536585365853201E-5</c:v>
                </c:pt>
                <c:pt idx="1">
                  <c:v>6.1268292682926611E-5</c:v>
                </c:pt>
                <c:pt idx="2">
                  <c:v>5.9365853658536578E-5</c:v>
                </c:pt>
                <c:pt idx="3">
                  <c:v>5.7512195121951183E-5</c:v>
                </c:pt>
                <c:pt idx="4">
                  <c:v>5.5560975609756065E-5</c:v>
                </c:pt>
                <c:pt idx="5">
                  <c:v>5.3756097560975579E-5</c:v>
                </c:pt>
                <c:pt idx="6">
                  <c:v>5.2097560975609741E-5</c:v>
                </c:pt>
                <c:pt idx="7">
                  <c:v>5.0341463414634118E-5</c:v>
                </c:pt>
                <c:pt idx="8">
                  <c:v>4.8780487804878004E-5</c:v>
                </c:pt>
                <c:pt idx="9">
                  <c:v>4.7365853658536585E-5</c:v>
                </c:pt>
                <c:pt idx="10">
                  <c:v>4.5902439024390242E-5</c:v>
                </c:pt>
                <c:pt idx="11">
                  <c:v>4.458536585365854E-5</c:v>
                </c:pt>
                <c:pt idx="12">
                  <c:v>4.3365853658536562E-5</c:v>
                </c:pt>
                <c:pt idx="13">
                  <c:v>4.2146341463414584E-5</c:v>
                </c:pt>
                <c:pt idx="14">
                  <c:v>4.1024390243902377E-5</c:v>
                </c:pt>
                <c:pt idx="15">
                  <c:v>4.0097560975609741E-5</c:v>
                </c:pt>
                <c:pt idx="16">
                  <c:v>3.9170731707317044E-5</c:v>
                </c:pt>
                <c:pt idx="17">
                  <c:v>3.8243902439024346E-5</c:v>
                </c:pt>
                <c:pt idx="18">
                  <c:v>3.741463414634142E-5</c:v>
                </c:pt>
                <c:pt idx="19">
                  <c:v>3.6634146341463418E-5</c:v>
                </c:pt>
                <c:pt idx="20">
                  <c:v>3.5951219512195085E-5</c:v>
                </c:pt>
                <c:pt idx="21">
                  <c:v>3.5317073170731661E-5</c:v>
                </c:pt>
                <c:pt idx="22">
                  <c:v>3.4682926829268238E-5</c:v>
                </c:pt>
                <c:pt idx="23">
                  <c:v>3.4097560975609737E-5</c:v>
                </c:pt>
                <c:pt idx="24">
                  <c:v>3.3658536585365823E-5</c:v>
                </c:pt>
                <c:pt idx="25">
                  <c:v>3.3414634146341459E-5</c:v>
                </c:pt>
                <c:pt idx="26">
                  <c:v>3.3268292682926818E-5</c:v>
                </c:pt>
                <c:pt idx="27">
                  <c:v>3.3121951219512178E-5</c:v>
                </c:pt>
                <c:pt idx="28">
                  <c:v>3.30243902439024E-5</c:v>
                </c:pt>
                <c:pt idx="29">
                  <c:v>3.317073170731704E-5</c:v>
                </c:pt>
                <c:pt idx="30">
                  <c:v>3.3073170731707262E-5</c:v>
                </c:pt>
                <c:pt idx="31">
                  <c:v>3.2878048780487759E-5</c:v>
                </c:pt>
                <c:pt idx="32">
                  <c:v>3.2682926829268264E-5</c:v>
                </c:pt>
                <c:pt idx="33">
                  <c:v>3.2341463414634121E-5</c:v>
                </c:pt>
                <c:pt idx="34">
                  <c:v>3.1999999999999985E-5</c:v>
                </c:pt>
                <c:pt idx="35">
                  <c:v>3.1609756097560919E-5</c:v>
                </c:pt>
                <c:pt idx="36">
                  <c:v>3.1121951219512143E-5</c:v>
                </c:pt>
                <c:pt idx="37">
                  <c:v>3.0829268292682916E-5</c:v>
                </c:pt>
                <c:pt idx="38">
                  <c:v>3.0439024390243861E-5</c:v>
                </c:pt>
                <c:pt idx="39">
                  <c:v>3.0048780487804859E-5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F9-4718-9416-3A6AC8BAA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569535"/>
        <c:axId val="1741324863"/>
      </c:scatterChart>
      <c:valAx>
        <c:axId val="16805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324863"/>
        <c:crosses val="autoZero"/>
        <c:crossBetween val="midCat"/>
      </c:valAx>
      <c:valAx>
        <c:axId val="174132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5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1"/>
          <c:tx>
            <c:strRef>
              <c:f>TotalGth!$F$1</c:f>
              <c:strCache>
                <c:ptCount val="1"/>
                <c:pt idx="0">
                  <c:v>Gtot series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TotalGth!$A$2:$A$101</c:f>
              <c:numCache>
                <c:formatCode>General</c:formatCode>
                <c:ptCount val="100"/>
                <c:pt idx="0">
                  <c:v>300</c:v>
                </c:pt>
                <c:pt idx="1">
                  <c:v>307.07070707070699</c:v>
                </c:pt>
                <c:pt idx="2">
                  <c:v>314.14141414141397</c:v>
                </c:pt>
                <c:pt idx="3">
                  <c:v>321.21212121212102</c:v>
                </c:pt>
                <c:pt idx="4">
                  <c:v>328.28282828282801</c:v>
                </c:pt>
                <c:pt idx="5">
                  <c:v>335.35353535353499</c:v>
                </c:pt>
                <c:pt idx="6">
                  <c:v>342.42424242424198</c:v>
                </c:pt>
                <c:pt idx="7">
                  <c:v>349.49494949494999</c:v>
                </c:pt>
                <c:pt idx="8">
                  <c:v>356.56565656565698</c:v>
                </c:pt>
                <c:pt idx="9">
                  <c:v>363.63636363636402</c:v>
                </c:pt>
                <c:pt idx="10">
                  <c:v>370.70707070707101</c:v>
                </c:pt>
                <c:pt idx="11">
                  <c:v>377.777777777778</c:v>
                </c:pt>
                <c:pt idx="12">
                  <c:v>384.84848484848499</c:v>
                </c:pt>
                <c:pt idx="13">
                  <c:v>391.91919191919197</c:v>
                </c:pt>
                <c:pt idx="14">
                  <c:v>398.98989898989902</c:v>
                </c:pt>
                <c:pt idx="15">
                  <c:v>406.06060606060601</c:v>
                </c:pt>
                <c:pt idx="16">
                  <c:v>413.13131313131299</c:v>
                </c:pt>
                <c:pt idx="17">
                  <c:v>420.20202020201998</c:v>
                </c:pt>
                <c:pt idx="18">
                  <c:v>427.27272727272702</c:v>
                </c:pt>
                <c:pt idx="19">
                  <c:v>434.34343434343401</c:v>
                </c:pt>
                <c:pt idx="20">
                  <c:v>441.414141414141</c:v>
                </c:pt>
                <c:pt idx="21">
                  <c:v>448.48484848484901</c:v>
                </c:pt>
                <c:pt idx="22">
                  <c:v>455.555555555556</c:v>
                </c:pt>
                <c:pt idx="23">
                  <c:v>462.62626262626299</c:v>
                </c:pt>
                <c:pt idx="24">
                  <c:v>469.69696969696997</c:v>
                </c:pt>
                <c:pt idx="25">
                  <c:v>476.76767676767702</c:v>
                </c:pt>
                <c:pt idx="26">
                  <c:v>483.838383838384</c:v>
                </c:pt>
                <c:pt idx="27">
                  <c:v>490.90909090909099</c:v>
                </c:pt>
                <c:pt idx="28">
                  <c:v>497.97979797979798</c:v>
                </c:pt>
                <c:pt idx="29">
                  <c:v>505.05050505050502</c:v>
                </c:pt>
                <c:pt idx="30">
                  <c:v>512.12121212121201</c:v>
                </c:pt>
                <c:pt idx="31">
                  <c:v>519.19191919191906</c:v>
                </c:pt>
                <c:pt idx="32">
                  <c:v>526.26262626262599</c:v>
                </c:pt>
                <c:pt idx="33">
                  <c:v>533.33333333333303</c:v>
                </c:pt>
                <c:pt idx="34">
                  <c:v>540.40404040403996</c:v>
                </c:pt>
                <c:pt idx="35">
                  <c:v>547.47474747474803</c:v>
                </c:pt>
                <c:pt idx="36">
                  <c:v>554.54545454545496</c:v>
                </c:pt>
                <c:pt idx="37">
                  <c:v>561.616161616162</c:v>
                </c:pt>
                <c:pt idx="38">
                  <c:v>568.68686868686905</c:v>
                </c:pt>
                <c:pt idx="39">
                  <c:v>575.75757575757598</c:v>
                </c:pt>
                <c:pt idx="40">
                  <c:v>582.82828282828302</c:v>
                </c:pt>
                <c:pt idx="41">
                  <c:v>589.89898989898995</c:v>
                </c:pt>
                <c:pt idx="42">
                  <c:v>596.969696969697</c:v>
                </c:pt>
                <c:pt idx="43">
                  <c:v>604.04040404040404</c:v>
                </c:pt>
                <c:pt idx="44">
                  <c:v>611.11111111111097</c:v>
                </c:pt>
                <c:pt idx="45">
                  <c:v>618.18181818181802</c:v>
                </c:pt>
                <c:pt idx="46">
                  <c:v>625.25252525252495</c:v>
                </c:pt>
                <c:pt idx="47">
                  <c:v>632.32323232323199</c:v>
                </c:pt>
                <c:pt idx="48">
                  <c:v>639.39393939393904</c:v>
                </c:pt>
                <c:pt idx="49">
                  <c:v>646.46464646464597</c:v>
                </c:pt>
                <c:pt idx="50">
                  <c:v>653.53535353535403</c:v>
                </c:pt>
                <c:pt idx="51">
                  <c:v>660.60606060606096</c:v>
                </c:pt>
                <c:pt idx="52">
                  <c:v>667.67676767676801</c:v>
                </c:pt>
                <c:pt idx="53">
                  <c:v>674.74747474747505</c:v>
                </c:pt>
                <c:pt idx="54">
                  <c:v>681.81818181818198</c:v>
                </c:pt>
                <c:pt idx="55">
                  <c:v>688.88888888888903</c:v>
                </c:pt>
                <c:pt idx="56">
                  <c:v>695.95959595959596</c:v>
                </c:pt>
                <c:pt idx="57">
                  <c:v>703.030303030303</c:v>
                </c:pt>
                <c:pt idx="58">
                  <c:v>710.10101010101005</c:v>
                </c:pt>
                <c:pt idx="59">
                  <c:v>717.17171717171698</c:v>
                </c:pt>
                <c:pt idx="60">
                  <c:v>724.24242424242402</c:v>
                </c:pt>
                <c:pt idx="61">
                  <c:v>731.31313131313095</c:v>
                </c:pt>
                <c:pt idx="62">
                  <c:v>738.383838383838</c:v>
                </c:pt>
                <c:pt idx="63">
                  <c:v>745.45454545454595</c:v>
                </c:pt>
                <c:pt idx="64">
                  <c:v>752.52525252525299</c:v>
                </c:pt>
                <c:pt idx="65">
                  <c:v>759.59595959596004</c:v>
                </c:pt>
                <c:pt idx="66">
                  <c:v>766.66666666666697</c:v>
                </c:pt>
                <c:pt idx="67">
                  <c:v>773.73737373737401</c:v>
                </c:pt>
                <c:pt idx="68">
                  <c:v>780.80808080808094</c:v>
                </c:pt>
                <c:pt idx="69">
                  <c:v>787.87878787878799</c:v>
                </c:pt>
                <c:pt idx="70">
                  <c:v>794.94949494949503</c:v>
                </c:pt>
                <c:pt idx="71">
                  <c:v>802.02020202020196</c:v>
                </c:pt>
                <c:pt idx="72">
                  <c:v>809.09090909090901</c:v>
                </c:pt>
                <c:pt idx="73">
                  <c:v>816.16161616161605</c:v>
                </c:pt>
                <c:pt idx="74">
                  <c:v>823.23232323232298</c:v>
                </c:pt>
                <c:pt idx="75">
                  <c:v>830.30303030303003</c:v>
                </c:pt>
                <c:pt idx="76">
                  <c:v>837.37373737373696</c:v>
                </c:pt>
                <c:pt idx="77">
                  <c:v>844.44444444444503</c:v>
                </c:pt>
                <c:pt idx="78">
                  <c:v>851.51515151515196</c:v>
                </c:pt>
                <c:pt idx="79">
                  <c:v>858.585858585859</c:v>
                </c:pt>
                <c:pt idx="80">
                  <c:v>865.65656565656604</c:v>
                </c:pt>
                <c:pt idx="81">
                  <c:v>872.72727272727298</c:v>
                </c:pt>
                <c:pt idx="82">
                  <c:v>879.79797979798002</c:v>
                </c:pt>
                <c:pt idx="83">
                  <c:v>886.86868686868695</c:v>
                </c:pt>
                <c:pt idx="84">
                  <c:v>893.93939393939399</c:v>
                </c:pt>
                <c:pt idx="85">
                  <c:v>901.01010101010104</c:v>
                </c:pt>
                <c:pt idx="86">
                  <c:v>908.08080808080797</c:v>
                </c:pt>
                <c:pt idx="87">
                  <c:v>915.15151515151501</c:v>
                </c:pt>
                <c:pt idx="88">
                  <c:v>922.22222222222194</c:v>
                </c:pt>
                <c:pt idx="89">
                  <c:v>929.29292929292899</c:v>
                </c:pt>
                <c:pt idx="90">
                  <c:v>936.36363636363603</c:v>
                </c:pt>
                <c:pt idx="91">
                  <c:v>943.43434343434296</c:v>
                </c:pt>
                <c:pt idx="92">
                  <c:v>950.50505050505103</c:v>
                </c:pt>
                <c:pt idx="93">
                  <c:v>957.57575757575796</c:v>
                </c:pt>
                <c:pt idx="94">
                  <c:v>964.64646464646501</c:v>
                </c:pt>
                <c:pt idx="95">
                  <c:v>971.71717171717205</c:v>
                </c:pt>
                <c:pt idx="96">
                  <c:v>978.78787878787898</c:v>
                </c:pt>
                <c:pt idx="97">
                  <c:v>985.85858585858603</c:v>
                </c:pt>
                <c:pt idx="98">
                  <c:v>992.92929292929296</c:v>
                </c:pt>
                <c:pt idx="99">
                  <c:v>1000</c:v>
                </c:pt>
              </c:numCache>
            </c:numRef>
          </c:xVal>
          <c:yVal>
            <c:numRef>
              <c:f>TotalGth!$F$2:$F$101</c:f>
              <c:numCache>
                <c:formatCode>0.00E+00</c:formatCode>
                <c:ptCount val="100"/>
                <c:pt idx="0">
                  <c:v>6.3127458099860218E-5</c:v>
                </c:pt>
                <c:pt idx="1">
                  <c:v>6.2451578480112677E-5</c:v>
                </c:pt>
                <c:pt idx="2">
                  <c:v>6.1756537043661748E-5</c:v>
                </c:pt>
                <c:pt idx="3">
                  <c:v>6.1047344968897794E-5</c:v>
                </c:pt>
                <c:pt idx="4">
                  <c:v>6.0328324396702807E-5</c:v>
                </c:pt>
                <c:pt idx="5">
                  <c:v>5.9603208803728321E-5</c:v>
                </c:pt>
                <c:pt idx="6">
                  <c:v>5.887522654227342E-5</c:v>
                </c:pt>
                <c:pt idx="7">
                  <c:v>5.8147170405719155E-5</c:v>
                </c:pt>
                <c:pt idx="8">
                  <c:v>5.742145576150142E-5</c:v>
                </c:pt>
                <c:pt idx="9">
                  <c:v>5.6700169603956533E-5</c:v>
                </c:pt>
                <c:pt idx="10">
                  <c:v>5.5985112670887343E-5</c:v>
                </c:pt>
                <c:pt idx="11">
                  <c:v>5.5277836375016031E-5</c:v>
                </c:pt>
                <c:pt idx="12">
                  <c:v>5.4579675658047327E-5</c:v>
                </c:pt>
                <c:pt idx="13">
                  <c:v>5.3891778121358765E-5</c:v>
                </c:pt>
                <c:pt idx="14">
                  <c:v>5.321512922900432E-5</c:v>
                </c:pt>
                <c:pt idx="15">
                  <c:v>5.255057326660338E-5</c:v>
                </c:pt>
                <c:pt idx="16">
                  <c:v>5.1898830057942557E-5</c:v>
                </c:pt>
                <c:pt idx="17">
                  <c:v>5.1260507921491813E-5</c:v>
                </c:pt>
                <c:pt idx="18">
                  <c:v>5.0636113691341451E-5</c:v>
                </c:pt>
                <c:pt idx="19">
                  <c:v>5.0026060697494487E-5</c:v>
                </c:pt>
                <c:pt idx="20">
                  <c:v>4.9430675452248196E-5</c:v>
                </c:pt>
                <c:pt idx="21">
                  <c:v>4.8850203555429153E-5</c:v>
                </c:pt>
                <c:pt idx="22">
                  <c:v>4.8284815119347759E-5</c:v>
                </c:pt>
                <c:pt idx="23">
                  <c:v>4.7734609870239116E-5</c:v>
                </c:pt>
                <c:pt idx="24">
                  <c:v>4.719962200488625E-5</c:v>
                </c:pt>
                <c:pt idx="25">
                  <c:v>4.6679824847730359E-5</c:v>
                </c:pt>
                <c:pt idx="26">
                  <c:v>4.6175135343326997E-5</c:v>
                </c:pt>
                <c:pt idx="27">
                  <c:v>4.5685418416731452E-5</c:v>
                </c:pt>
                <c:pt idx="28">
                  <c:v>4.521049123265069E-5</c:v>
                </c:pt>
                <c:pt idx="29">
                  <c:v>4.475012738020256E-5</c:v>
                </c:pt>
                <c:pt idx="30">
                  <c:v>4.4304061003656568E-5</c:v>
                </c:pt>
                <c:pt idx="31">
                  <c:v>4.3871990891422754E-5</c:v>
                </c:pt>
                <c:pt idx="32">
                  <c:v>4.3453584526843526E-5</c:v>
                </c:pt>
                <c:pt idx="33">
                  <c:v>4.3048482095950215E-5</c:v>
                </c:pt>
                <c:pt idx="34">
                  <c:v>4.2656300439927242E-5</c:v>
                </c:pt>
                <c:pt idx="35">
                  <c:v>4.2276636934018209E-5</c:v>
                </c:pt>
                <c:pt idx="36">
                  <c:v>4.1909073270232663E-5</c:v>
                </c:pt>
                <c:pt idx="37">
                  <c:v>4.1553179118526299E-5</c:v>
                </c:pt>
                <c:pt idx="38">
                  <c:v>4.1208515640086601E-5</c:v>
                </c:pt>
                <c:pt idx="39">
                  <c:v>4.0874638826812604E-5</c:v>
                </c:pt>
                <c:pt idx="40">
                  <c:v>4.0551102642827558E-5</c:v>
                </c:pt>
                <c:pt idx="41">
                  <c:v>4.0237461946685407E-5</c:v>
                </c:pt>
                <c:pt idx="42">
                  <c:v>3.9933275176550293E-5</c:v>
                </c:pt>
                <c:pt idx="43">
                  <c:v>3.9638106784805474E-5</c:v>
                </c:pt>
                <c:pt idx="44">
                  <c:v>3.935152941302758E-5</c:v>
                </c:pt>
                <c:pt idx="45">
                  <c:v>3.9073125802824101E-5</c:v>
                </c:pt>
                <c:pt idx="46">
                  <c:v>3.8802490442479765E-5</c:v>
                </c:pt>
                <c:pt idx="47">
                  <c:v>3.8539230953528157E-5</c:v>
                </c:pt>
                <c:pt idx="48">
                  <c:v>3.8282969225138099E-5</c:v>
                </c:pt>
                <c:pt idx="49">
                  <c:v>3.8033342307476824E-5</c:v>
                </c:pt>
                <c:pt idx="50">
                  <c:v>3.7790003077944755E-5</c:v>
                </c:pt>
                <c:pt idx="51">
                  <c:v>3.7552620696327312E-5</c:v>
                </c:pt>
                <c:pt idx="52">
                  <c:v>3.7320880866492773E-5</c:v>
                </c:pt>
                <c:pt idx="53">
                  <c:v>3.7094485923295926E-5</c:v>
                </c:pt>
                <c:pt idx="54">
                  <c:v>3.6873154763871448E-5</c:v>
                </c:pt>
                <c:pt idx="55">
                  <c:v>3.66566226425692E-5</c:v>
                </c:pt>
                <c:pt idx="56">
                  <c:v>3.644464084845499E-5</c:v>
                </c:pt>
                <c:pt idx="57">
                  <c:v>3.6236976283647563E-5</c:v>
                </c:pt>
                <c:pt idx="58">
                  <c:v>3.6033410959834582E-5</c:v>
                </c:pt>
                <c:pt idx="59">
                  <c:v>3.583374142919146E-5</c:v>
                </c:pt>
                <c:pt idx="60">
                  <c:v>3.5637778164656198E-5</c:v>
                </c:pt>
                <c:pt idx="61">
                  <c:v>3.5445344903154523E-5</c:v>
                </c:pt>
                <c:pt idx="62">
                  <c:v>3.5256277963967933E-5</c:v>
                </c:pt>
                <c:pt idx="63">
                  <c:v>3.5070425553028791E-5</c:v>
                </c:pt>
                <c:pt idx="64">
                  <c:v>3.4887647062546522E-5</c:v>
                </c:pt>
                <c:pt idx="65">
                  <c:v>3.4707812374042078E-5</c:v>
                </c:pt>
                <c:pt idx="66">
                  <c:v>3.4530801171615632E-5</c:v>
                </c:pt>
                <c:pt idx="67">
                  <c:v>3.4356502271103711E-5</c:v>
                </c:pt>
                <c:pt idx="68">
                  <c:v>3.4184812969714717E-5</c:v>
                </c:pt>
                <c:pt idx="69">
                  <c:v>3.401563841976032E-5</c:v>
                </c:pt>
                <c:pt idx="70">
                  <c:v>3.3848891029233949E-5</c:v>
                </c:pt>
                <c:pt idx="71">
                  <c:v>3.3684489891225471E-5</c:v>
                </c:pt>
                <c:pt idx="72">
                  <c:v>3.3522360243487617E-5</c:v>
                </c:pt>
                <c:pt idx="73">
                  <c:v>3.3362432958902627E-5</c:v>
                </c:pt>
                <c:pt idx="74">
                  <c:v>3.3204644067100741E-5</c:v>
                </c:pt>
                <c:pt idx="75">
                  <c:v>3.3048934307082269E-5</c:v>
                </c:pt>
                <c:pt idx="76">
                  <c:v>3.2895248710349654E-5</c:v>
                </c:pt>
                <c:pt idx="77">
                  <c:v>3.2743536213791998E-5</c:v>
                </c:pt>
                <c:pt idx="78">
                  <c:v>3.2593749301343165E-5</c:v>
                </c:pt>
                <c:pt idx="79">
                  <c:v>3.2445843673277417E-5</c:v>
                </c:pt>
                <c:pt idx="80">
                  <c:v>3.2299777941880501E-5</c:v>
                </c:pt>
                <c:pt idx="81">
                  <c:v>3.2155513352155577E-5</c:v>
                </c:pt>
                <c:pt idx="82">
                  <c:v>3.201301352617159E-5</c:v>
                </c:pt>
                <c:pt idx="83">
                  <c:v>3.1872244229637391E-5</c:v>
                </c:pt>
                <c:pt idx="84">
                  <c:v>3.1733173159284453E-5</c:v>
                </c:pt>
                <c:pt idx="85">
                  <c:v>3.1595769749656002E-5</c:v>
                </c:pt>
                <c:pt idx="86">
                  <c:v>3.1460004997932109E-5</c:v>
                </c:pt>
                <c:pt idx="87">
                  <c:v>3.1325851305462263E-5</c:v>
                </c:pt>
                <c:pt idx="88">
                  <c:v>3.1193282334727413E-5</c:v>
                </c:pt>
                <c:pt idx="89">
                  <c:v>3.1062272880510094E-5</c:v>
                </c:pt>
                <c:pt idx="90">
                  <c:v>3.0932798754112509E-5</c:v>
                </c:pt>
                <c:pt idx="91">
                  <c:v>3.0804836679527458E-5</c:v>
                </c:pt>
                <c:pt idx="92">
                  <c:v>3.0678364200529117E-5</c:v>
                </c:pt>
                <c:pt idx="93">
                  <c:v>3.0553359597719756E-5</c:v>
                </c:pt>
                <c:pt idx="94">
                  <c:v>3.0429801814631244E-5</c:v>
                </c:pt>
                <c:pt idx="95">
                  <c:v>3.0307670392041074E-5</c:v>
                </c:pt>
                <c:pt idx="96">
                  <c:v>3.0186945409730271E-5</c:v>
                </c:pt>
                <c:pt idx="97">
                  <c:v>3.0067607434961253E-5</c:v>
                </c:pt>
                <c:pt idx="98">
                  <c:v>2.9949637477018215E-5</c:v>
                </c:pt>
                <c:pt idx="99">
                  <c:v>2.9833016947198945E-5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FC-4FA2-A613-40BF8D409FAC}"/>
            </c:ext>
          </c:extLst>
        </c:ser>
        <c:ser>
          <c:idx val="0"/>
          <c:order val="2"/>
          <c:tx>
            <c:strRef>
              <c:f>TotalGth!$J$1</c:f>
              <c:strCache>
                <c:ptCount val="1"/>
                <c:pt idx="0">
                  <c:v>Derived Gth from Data (W/K)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TotalGth!$I$2:$I$28</c:f>
              <c:numCache>
                <c:formatCode>General</c:formatCode>
                <c:ptCount val="27"/>
                <c:pt idx="0">
                  <c:v>323.41170585292599</c:v>
                </c:pt>
                <c:pt idx="1">
                  <c:v>337.81890945472702</c:v>
                </c:pt>
                <c:pt idx="2">
                  <c:v>348.02401200600298</c:v>
                </c:pt>
                <c:pt idx="3">
                  <c:v>358.22911455727899</c:v>
                </c:pt>
                <c:pt idx="4">
                  <c:v>360.03001500750401</c:v>
                </c:pt>
                <c:pt idx="5">
                  <c:v>361.83091545772902</c:v>
                </c:pt>
                <c:pt idx="6">
                  <c:v>364.83241620810401</c:v>
                </c:pt>
                <c:pt idx="7">
                  <c:v>366.03301650825398</c:v>
                </c:pt>
                <c:pt idx="8">
                  <c:v>368.43421710855398</c:v>
                </c:pt>
                <c:pt idx="9">
                  <c:v>370.235117558779</c:v>
                </c:pt>
                <c:pt idx="10">
                  <c:v>372.03601800900498</c:v>
                </c:pt>
                <c:pt idx="11">
                  <c:v>373.83691845922999</c:v>
                </c:pt>
                <c:pt idx="12">
                  <c:v>376.23811905952999</c:v>
                </c:pt>
                <c:pt idx="13">
                  <c:v>378.03901950975501</c:v>
                </c:pt>
                <c:pt idx="14">
                  <c:v>380.44022011005501</c:v>
                </c:pt>
                <c:pt idx="15">
                  <c:v>381.64082041020498</c:v>
                </c:pt>
                <c:pt idx="16">
                  <c:v>383.44172086043</c:v>
                </c:pt>
                <c:pt idx="17">
                  <c:v>385.84292146073</c:v>
                </c:pt>
                <c:pt idx="18">
                  <c:v>387.64382191095501</c:v>
                </c:pt>
                <c:pt idx="19">
                  <c:v>389.44472236118099</c:v>
                </c:pt>
                <c:pt idx="20">
                  <c:v>391.24562281140601</c:v>
                </c:pt>
                <c:pt idx="21">
                  <c:v>393.64682341170601</c:v>
                </c:pt>
                <c:pt idx="22">
                  <c:v>395.44772386193102</c:v>
                </c:pt>
                <c:pt idx="23">
                  <c:v>397.24862431215598</c:v>
                </c:pt>
                <c:pt idx="24">
                  <c:v>433.26663331665799</c:v>
                </c:pt>
                <c:pt idx="25">
                  <c:v>436.86843421710898</c:v>
                </c:pt>
                <c:pt idx="26">
                  <c:v>444.67233616808397</c:v>
                </c:pt>
              </c:numCache>
            </c:numRef>
          </c:xVal>
          <c:yVal>
            <c:numRef>
              <c:f>TotalGth!$J$2:$J$28</c:f>
              <c:numCache>
                <c:formatCode>General</c:formatCode>
                <c:ptCount val="27"/>
                <c:pt idx="0">
                  <c:v>1.75200817307696E-4</c:v>
                </c:pt>
                <c:pt idx="1">
                  <c:v>3.2938548941799199E-4</c:v>
                </c:pt>
                <c:pt idx="2">
                  <c:v>4.7790155468750001E-4</c:v>
                </c:pt>
                <c:pt idx="3">
                  <c:v>5.8277032474226501E-4</c:v>
                </c:pt>
                <c:pt idx="4">
                  <c:v>5.9946361824999704E-4</c:v>
                </c:pt>
                <c:pt idx="5">
                  <c:v>6.1605848333333196E-4</c:v>
                </c:pt>
                <c:pt idx="6">
                  <c:v>6.1334949899691401E-4</c:v>
                </c:pt>
                <c:pt idx="7">
                  <c:v>6.3542031272727402E-4</c:v>
                </c:pt>
                <c:pt idx="8">
                  <c:v>6.37089921418131E-4</c:v>
                </c:pt>
                <c:pt idx="9">
                  <c:v>6.4923818148148501E-4</c:v>
                </c:pt>
                <c:pt idx="10">
                  <c:v>6.6457254749999596E-4</c:v>
                </c:pt>
                <c:pt idx="11">
                  <c:v>6.7195599485094502E-4</c:v>
                </c:pt>
                <c:pt idx="12">
                  <c:v>6.6622905479002403E-4</c:v>
                </c:pt>
                <c:pt idx="13">
                  <c:v>6.7631167499999901E-4</c:v>
                </c:pt>
                <c:pt idx="14">
                  <c:v>6.7191275615671698E-4</c:v>
                </c:pt>
                <c:pt idx="15">
                  <c:v>6.8618614705882495E-4</c:v>
                </c:pt>
                <c:pt idx="16">
                  <c:v>6.8892011582734E-4</c:v>
                </c:pt>
                <c:pt idx="17">
                  <c:v>6.8022638333333602E-4</c:v>
                </c:pt>
                <c:pt idx="18">
                  <c:v>6.8266192294520896E-4</c:v>
                </c:pt>
                <c:pt idx="19">
                  <c:v>6.9050423959731203E-4</c:v>
                </c:pt>
                <c:pt idx="20">
                  <c:v>6.9038215816885704E-4</c:v>
                </c:pt>
                <c:pt idx="21">
                  <c:v>6.7935673290598199E-4</c:v>
                </c:pt>
                <c:pt idx="22">
                  <c:v>6.7880413883647799E-4</c:v>
                </c:pt>
                <c:pt idx="23">
                  <c:v>6.7447740740740798E-4</c:v>
                </c:pt>
                <c:pt idx="24">
                  <c:v>2.7713065964714799E-4</c:v>
                </c:pt>
                <c:pt idx="25">
                  <c:v>2.7511237499999898E-4</c:v>
                </c:pt>
                <c:pt idx="26">
                  <c:v>2.7100896438450898E-4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FC-4FA2-A613-40BF8D409FAC}"/>
            </c:ext>
          </c:extLst>
        </c:ser>
        <c:ser>
          <c:idx val="2"/>
          <c:order val="3"/>
          <c:tx>
            <c:strRef>
              <c:f>TotalGth!#REF!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TotalGth!$A$2:$A$101</c:f>
              <c:numCache>
                <c:formatCode>General</c:formatCode>
                <c:ptCount val="100"/>
                <c:pt idx="0">
                  <c:v>300</c:v>
                </c:pt>
                <c:pt idx="1">
                  <c:v>307.07070707070699</c:v>
                </c:pt>
                <c:pt idx="2">
                  <c:v>314.14141414141397</c:v>
                </c:pt>
                <c:pt idx="3">
                  <c:v>321.21212121212102</c:v>
                </c:pt>
                <c:pt idx="4">
                  <c:v>328.28282828282801</c:v>
                </c:pt>
                <c:pt idx="5">
                  <c:v>335.35353535353499</c:v>
                </c:pt>
                <c:pt idx="6">
                  <c:v>342.42424242424198</c:v>
                </c:pt>
                <c:pt idx="7">
                  <c:v>349.49494949494999</c:v>
                </c:pt>
                <c:pt idx="8">
                  <c:v>356.56565656565698</c:v>
                </c:pt>
                <c:pt idx="9">
                  <c:v>363.63636363636402</c:v>
                </c:pt>
                <c:pt idx="10">
                  <c:v>370.70707070707101</c:v>
                </c:pt>
                <c:pt idx="11">
                  <c:v>377.777777777778</c:v>
                </c:pt>
                <c:pt idx="12">
                  <c:v>384.84848484848499</c:v>
                </c:pt>
                <c:pt idx="13">
                  <c:v>391.91919191919197</c:v>
                </c:pt>
                <c:pt idx="14">
                  <c:v>398.98989898989902</c:v>
                </c:pt>
                <c:pt idx="15">
                  <c:v>406.06060606060601</c:v>
                </c:pt>
                <c:pt idx="16">
                  <c:v>413.13131313131299</c:v>
                </c:pt>
                <c:pt idx="17">
                  <c:v>420.20202020201998</c:v>
                </c:pt>
                <c:pt idx="18">
                  <c:v>427.27272727272702</c:v>
                </c:pt>
                <c:pt idx="19">
                  <c:v>434.34343434343401</c:v>
                </c:pt>
                <c:pt idx="20">
                  <c:v>441.414141414141</c:v>
                </c:pt>
                <c:pt idx="21">
                  <c:v>448.48484848484901</c:v>
                </c:pt>
                <c:pt idx="22">
                  <c:v>455.555555555556</c:v>
                </c:pt>
                <c:pt idx="23">
                  <c:v>462.62626262626299</c:v>
                </c:pt>
                <c:pt idx="24">
                  <c:v>469.69696969696997</c:v>
                </c:pt>
                <c:pt idx="25">
                  <c:v>476.76767676767702</c:v>
                </c:pt>
                <c:pt idx="26">
                  <c:v>483.838383838384</c:v>
                </c:pt>
                <c:pt idx="27">
                  <c:v>490.90909090909099</c:v>
                </c:pt>
                <c:pt idx="28">
                  <c:v>497.97979797979798</c:v>
                </c:pt>
                <c:pt idx="29">
                  <c:v>505.05050505050502</c:v>
                </c:pt>
                <c:pt idx="30">
                  <c:v>512.12121212121201</c:v>
                </c:pt>
                <c:pt idx="31">
                  <c:v>519.19191919191906</c:v>
                </c:pt>
                <c:pt idx="32">
                  <c:v>526.26262626262599</c:v>
                </c:pt>
                <c:pt idx="33">
                  <c:v>533.33333333333303</c:v>
                </c:pt>
                <c:pt idx="34">
                  <c:v>540.40404040403996</c:v>
                </c:pt>
                <c:pt idx="35">
                  <c:v>547.47474747474803</c:v>
                </c:pt>
                <c:pt idx="36">
                  <c:v>554.54545454545496</c:v>
                </c:pt>
                <c:pt idx="37">
                  <c:v>561.616161616162</c:v>
                </c:pt>
                <c:pt idx="38">
                  <c:v>568.68686868686905</c:v>
                </c:pt>
                <c:pt idx="39">
                  <c:v>575.75757575757598</c:v>
                </c:pt>
                <c:pt idx="40">
                  <c:v>582.82828282828302</c:v>
                </c:pt>
                <c:pt idx="41">
                  <c:v>589.89898989898995</c:v>
                </c:pt>
                <c:pt idx="42">
                  <c:v>596.969696969697</c:v>
                </c:pt>
                <c:pt idx="43">
                  <c:v>604.04040404040404</c:v>
                </c:pt>
                <c:pt idx="44">
                  <c:v>611.11111111111097</c:v>
                </c:pt>
                <c:pt idx="45">
                  <c:v>618.18181818181802</c:v>
                </c:pt>
                <c:pt idx="46">
                  <c:v>625.25252525252495</c:v>
                </c:pt>
                <c:pt idx="47">
                  <c:v>632.32323232323199</c:v>
                </c:pt>
                <c:pt idx="48">
                  <c:v>639.39393939393904</c:v>
                </c:pt>
                <c:pt idx="49">
                  <c:v>646.46464646464597</c:v>
                </c:pt>
                <c:pt idx="50">
                  <c:v>653.53535353535403</c:v>
                </c:pt>
                <c:pt idx="51">
                  <c:v>660.60606060606096</c:v>
                </c:pt>
                <c:pt idx="52">
                  <c:v>667.67676767676801</c:v>
                </c:pt>
                <c:pt idx="53">
                  <c:v>674.74747474747505</c:v>
                </c:pt>
                <c:pt idx="54">
                  <c:v>681.81818181818198</c:v>
                </c:pt>
                <c:pt idx="55">
                  <c:v>688.88888888888903</c:v>
                </c:pt>
                <c:pt idx="56">
                  <c:v>695.95959595959596</c:v>
                </c:pt>
                <c:pt idx="57">
                  <c:v>703.030303030303</c:v>
                </c:pt>
                <c:pt idx="58">
                  <c:v>710.10101010101005</c:v>
                </c:pt>
                <c:pt idx="59">
                  <c:v>717.17171717171698</c:v>
                </c:pt>
                <c:pt idx="60">
                  <c:v>724.24242424242402</c:v>
                </c:pt>
                <c:pt idx="61">
                  <c:v>731.31313131313095</c:v>
                </c:pt>
                <c:pt idx="62">
                  <c:v>738.383838383838</c:v>
                </c:pt>
                <c:pt idx="63">
                  <c:v>745.45454545454595</c:v>
                </c:pt>
                <c:pt idx="64">
                  <c:v>752.52525252525299</c:v>
                </c:pt>
                <c:pt idx="65">
                  <c:v>759.59595959596004</c:v>
                </c:pt>
                <c:pt idx="66">
                  <c:v>766.66666666666697</c:v>
                </c:pt>
                <c:pt idx="67">
                  <c:v>773.73737373737401</c:v>
                </c:pt>
                <c:pt idx="68">
                  <c:v>780.80808080808094</c:v>
                </c:pt>
                <c:pt idx="69">
                  <c:v>787.87878787878799</c:v>
                </c:pt>
                <c:pt idx="70">
                  <c:v>794.94949494949503</c:v>
                </c:pt>
                <c:pt idx="71">
                  <c:v>802.02020202020196</c:v>
                </c:pt>
                <c:pt idx="72">
                  <c:v>809.09090909090901</c:v>
                </c:pt>
                <c:pt idx="73">
                  <c:v>816.16161616161605</c:v>
                </c:pt>
                <c:pt idx="74">
                  <c:v>823.23232323232298</c:v>
                </c:pt>
                <c:pt idx="75">
                  <c:v>830.30303030303003</c:v>
                </c:pt>
                <c:pt idx="76">
                  <c:v>837.37373737373696</c:v>
                </c:pt>
                <c:pt idx="77">
                  <c:v>844.44444444444503</c:v>
                </c:pt>
                <c:pt idx="78">
                  <c:v>851.51515151515196</c:v>
                </c:pt>
                <c:pt idx="79">
                  <c:v>858.585858585859</c:v>
                </c:pt>
                <c:pt idx="80">
                  <c:v>865.65656565656604</c:v>
                </c:pt>
                <c:pt idx="81">
                  <c:v>872.72727272727298</c:v>
                </c:pt>
                <c:pt idx="82">
                  <c:v>879.79797979798002</c:v>
                </c:pt>
                <c:pt idx="83">
                  <c:v>886.86868686868695</c:v>
                </c:pt>
                <c:pt idx="84">
                  <c:v>893.93939393939399</c:v>
                </c:pt>
                <c:pt idx="85">
                  <c:v>901.01010101010104</c:v>
                </c:pt>
                <c:pt idx="86">
                  <c:v>908.08080808080797</c:v>
                </c:pt>
                <c:pt idx="87">
                  <c:v>915.15151515151501</c:v>
                </c:pt>
                <c:pt idx="88">
                  <c:v>922.22222222222194</c:v>
                </c:pt>
                <c:pt idx="89">
                  <c:v>929.29292929292899</c:v>
                </c:pt>
                <c:pt idx="90">
                  <c:v>936.36363636363603</c:v>
                </c:pt>
                <c:pt idx="91">
                  <c:v>943.43434343434296</c:v>
                </c:pt>
                <c:pt idx="92">
                  <c:v>950.50505050505103</c:v>
                </c:pt>
                <c:pt idx="93">
                  <c:v>957.57575757575796</c:v>
                </c:pt>
                <c:pt idx="94">
                  <c:v>964.64646464646501</c:v>
                </c:pt>
                <c:pt idx="95">
                  <c:v>971.71717171717205</c:v>
                </c:pt>
                <c:pt idx="96">
                  <c:v>978.78787878787898</c:v>
                </c:pt>
                <c:pt idx="97">
                  <c:v>985.85858585858603</c:v>
                </c:pt>
                <c:pt idx="98">
                  <c:v>992.92929292929296</c:v>
                </c:pt>
                <c:pt idx="99">
                  <c:v>1000</c:v>
                </c:pt>
              </c:numCache>
            </c:numRef>
          </c:xVal>
          <c:yVal>
            <c:numRef>
              <c:f>TotalGth!#REF!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07-423F-A532-4230B3D4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228239"/>
        <c:axId val="167354091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TotalGth!$C$1</c15:sqref>
                        </c15:formulaRef>
                      </c:ext>
                    </c:extLst>
                    <c:strCache>
                      <c:ptCount val="1"/>
                      <c:pt idx="0">
                        <c:v>GthLAlO3  (W/K)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TotalGth!$A$2:$A$101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300</c:v>
                      </c:pt>
                      <c:pt idx="1">
                        <c:v>307.07070707070699</c:v>
                      </c:pt>
                      <c:pt idx="2">
                        <c:v>314.14141414141397</c:v>
                      </c:pt>
                      <c:pt idx="3">
                        <c:v>321.21212121212102</c:v>
                      </c:pt>
                      <c:pt idx="4">
                        <c:v>328.28282828282801</c:v>
                      </c:pt>
                      <c:pt idx="5">
                        <c:v>335.35353535353499</c:v>
                      </c:pt>
                      <c:pt idx="6">
                        <c:v>342.42424242424198</c:v>
                      </c:pt>
                      <c:pt idx="7">
                        <c:v>349.49494949494999</c:v>
                      </c:pt>
                      <c:pt idx="8">
                        <c:v>356.56565656565698</c:v>
                      </c:pt>
                      <c:pt idx="9">
                        <c:v>363.63636363636402</c:v>
                      </c:pt>
                      <c:pt idx="10">
                        <c:v>370.70707070707101</c:v>
                      </c:pt>
                      <c:pt idx="11">
                        <c:v>377.777777777778</c:v>
                      </c:pt>
                      <c:pt idx="12">
                        <c:v>384.84848484848499</c:v>
                      </c:pt>
                      <c:pt idx="13">
                        <c:v>391.91919191919197</c:v>
                      </c:pt>
                      <c:pt idx="14">
                        <c:v>398.98989898989902</c:v>
                      </c:pt>
                      <c:pt idx="15">
                        <c:v>406.06060606060601</c:v>
                      </c:pt>
                      <c:pt idx="16">
                        <c:v>413.13131313131299</c:v>
                      </c:pt>
                      <c:pt idx="17">
                        <c:v>420.20202020201998</c:v>
                      </c:pt>
                      <c:pt idx="18">
                        <c:v>427.27272727272702</c:v>
                      </c:pt>
                      <c:pt idx="19">
                        <c:v>434.34343434343401</c:v>
                      </c:pt>
                      <c:pt idx="20">
                        <c:v>441.414141414141</c:v>
                      </c:pt>
                      <c:pt idx="21">
                        <c:v>448.48484848484901</c:v>
                      </c:pt>
                      <c:pt idx="22">
                        <c:v>455.555555555556</c:v>
                      </c:pt>
                      <c:pt idx="23">
                        <c:v>462.62626262626299</c:v>
                      </c:pt>
                      <c:pt idx="24">
                        <c:v>469.69696969696997</c:v>
                      </c:pt>
                      <c:pt idx="25">
                        <c:v>476.76767676767702</c:v>
                      </c:pt>
                      <c:pt idx="26">
                        <c:v>483.838383838384</c:v>
                      </c:pt>
                      <c:pt idx="27">
                        <c:v>490.90909090909099</c:v>
                      </c:pt>
                      <c:pt idx="28">
                        <c:v>497.97979797979798</c:v>
                      </c:pt>
                      <c:pt idx="29">
                        <c:v>505.05050505050502</c:v>
                      </c:pt>
                      <c:pt idx="30">
                        <c:v>512.12121212121201</c:v>
                      </c:pt>
                      <c:pt idx="31">
                        <c:v>519.19191919191906</c:v>
                      </c:pt>
                      <c:pt idx="32">
                        <c:v>526.26262626262599</c:v>
                      </c:pt>
                      <c:pt idx="33">
                        <c:v>533.33333333333303</c:v>
                      </c:pt>
                      <c:pt idx="34">
                        <c:v>540.40404040403996</c:v>
                      </c:pt>
                      <c:pt idx="35">
                        <c:v>547.47474747474803</c:v>
                      </c:pt>
                      <c:pt idx="36">
                        <c:v>554.54545454545496</c:v>
                      </c:pt>
                      <c:pt idx="37">
                        <c:v>561.616161616162</c:v>
                      </c:pt>
                      <c:pt idx="38">
                        <c:v>568.68686868686905</c:v>
                      </c:pt>
                      <c:pt idx="39">
                        <c:v>575.75757575757598</c:v>
                      </c:pt>
                      <c:pt idx="40">
                        <c:v>582.82828282828302</c:v>
                      </c:pt>
                      <c:pt idx="41">
                        <c:v>589.89898989898995</c:v>
                      </c:pt>
                      <c:pt idx="42">
                        <c:v>596.969696969697</c:v>
                      </c:pt>
                      <c:pt idx="43">
                        <c:v>604.04040404040404</c:v>
                      </c:pt>
                      <c:pt idx="44">
                        <c:v>611.11111111111097</c:v>
                      </c:pt>
                      <c:pt idx="45">
                        <c:v>618.18181818181802</c:v>
                      </c:pt>
                      <c:pt idx="46">
                        <c:v>625.25252525252495</c:v>
                      </c:pt>
                      <c:pt idx="47">
                        <c:v>632.32323232323199</c:v>
                      </c:pt>
                      <c:pt idx="48">
                        <c:v>639.39393939393904</c:v>
                      </c:pt>
                      <c:pt idx="49">
                        <c:v>646.46464646464597</c:v>
                      </c:pt>
                      <c:pt idx="50">
                        <c:v>653.53535353535403</c:v>
                      </c:pt>
                      <c:pt idx="51">
                        <c:v>660.60606060606096</c:v>
                      </c:pt>
                      <c:pt idx="52">
                        <c:v>667.67676767676801</c:v>
                      </c:pt>
                      <c:pt idx="53">
                        <c:v>674.74747474747505</c:v>
                      </c:pt>
                      <c:pt idx="54">
                        <c:v>681.81818181818198</c:v>
                      </c:pt>
                      <c:pt idx="55">
                        <c:v>688.88888888888903</c:v>
                      </c:pt>
                      <c:pt idx="56">
                        <c:v>695.95959595959596</c:v>
                      </c:pt>
                      <c:pt idx="57">
                        <c:v>703.030303030303</c:v>
                      </c:pt>
                      <c:pt idx="58">
                        <c:v>710.10101010101005</c:v>
                      </c:pt>
                      <c:pt idx="59">
                        <c:v>717.17171717171698</c:v>
                      </c:pt>
                      <c:pt idx="60">
                        <c:v>724.24242424242402</c:v>
                      </c:pt>
                      <c:pt idx="61">
                        <c:v>731.31313131313095</c:v>
                      </c:pt>
                      <c:pt idx="62">
                        <c:v>738.383838383838</c:v>
                      </c:pt>
                      <c:pt idx="63">
                        <c:v>745.45454545454595</c:v>
                      </c:pt>
                      <c:pt idx="64">
                        <c:v>752.52525252525299</c:v>
                      </c:pt>
                      <c:pt idx="65">
                        <c:v>759.59595959596004</c:v>
                      </c:pt>
                      <c:pt idx="66">
                        <c:v>766.66666666666697</c:v>
                      </c:pt>
                      <c:pt idx="67">
                        <c:v>773.73737373737401</c:v>
                      </c:pt>
                      <c:pt idx="68">
                        <c:v>780.80808080808094</c:v>
                      </c:pt>
                      <c:pt idx="69">
                        <c:v>787.87878787878799</c:v>
                      </c:pt>
                      <c:pt idx="70">
                        <c:v>794.94949494949503</c:v>
                      </c:pt>
                      <c:pt idx="71">
                        <c:v>802.02020202020196</c:v>
                      </c:pt>
                      <c:pt idx="72">
                        <c:v>809.09090909090901</c:v>
                      </c:pt>
                      <c:pt idx="73">
                        <c:v>816.16161616161605</c:v>
                      </c:pt>
                      <c:pt idx="74">
                        <c:v>823.23232323232298</c:v>
                      </c:pt>
                      <c:pt idx="75">
                        <c:v>830.30303030303003</c:v>
                      </c:pt>
                      <c:pt idx="76">
                        <c:v>837.37373737373696</c:v>
                      </c:pt>
                      <c:pt idx="77">
                        <c:v>844.44444444444503</c:v>
                      </c:pt>
                      <c:pt idx="78">
                        <c:v>851.51515151515196</c:v>
                      </c:pt>
                      <c:pt idx="79">
                        <c:v>858.585858585859</c:v>
                      </c:pt>
                      <c:pt idx="80">
                        <c:v>865.65656565656604</c:v>
                      </c:pt>
                      <c:pt idx="81">
                        <c:v>872.72727272727298</c:v>
                      </c:pt>
                      <c:pt idx="82">
                        <c:v>879.79797979798002</c:v>
                      </c:pt>
                      <c:pt idx="83">
                        <c:v>886.86868686868695</c:v>
                      </c:pt>
                      <c:pt idx="84">
                        <c:v>893.93939393939399</c:v>
                      </c:pt>
                      <c:pt idx="85">
                        <c:v>901.01010101010104</c:v>
                      </c:pt>
                      <c:pt idx="86">
                        <c:v>908.08080808080797</c:v>
                      </c:pt>
                      <c:pt idx="87">
                        <c:v>915.15151515151501</c:v>
                      </c:pt>
                      <c:pt idx="88">
                        <c:v>922.22222222222194</c:v>
                      </c:pt>
                      <c:pt idx="89">
                        <c:v>929.29292929292899</c:v>
                      </c:pt>
                      <c:pt idx="90">
                        <c:v>936.36363636363603</c:v>
                      </c:pt>
                      <c:pt idx="91">
                        <c:v>943.43434343434296</c:v>
                      </c:pt>
                      <c:pt idx="92">
                        <c:v>950.50505050505103</c:v>
                      </c:pt>
                      <c:pt idx="93">
                        <c:v>957.57575757575796</c:v>
                      </c:pt>
                      <c:pt idx="94">
                        <c:v>964.64646464646501</c:v>
                      </c:pt>
                      <c:pt idx="95">
                        <c:v>971.71717171717205</c:v>
                      </c:pt>
                      <c:pt idx="96">
                        <c:v>978.78787878787898</c:v>
                      </c:pt>
                      <c:pt idx="97">
                        <c:v>985.85858585858603</c:v>
                      </c:pt>
                      <c:pt idx="98">
                        <c:v>992.92929292929296</c:v>
                      </c:pt>
                      <c:pt idx="99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TotalGth!$C$2:$C$101</c15:sqref>
                        </c15:formulaRef>
                      </c:ext>
                    </c:extLst>
                    <c:numCache>
                      <c:formatCode>0.00E+00</c:formatCode>
                      <c:ptCount val="100"/>
                      <c:pt idx="0">
                        <c:v>6.3202358904074004E-5</c:v>
                      </c:pt>
                      <c:pt idx="1">
                        <c:v>6.2523650617987394E-5</c:v>
                      </c:pt>
                      <c:pt idx="2">
                        <c:v>6.18258032342785E-5</c:v>
                      </c:pt>
                      <c:pt idx="3">
                        <c:v>6.1113828451659497E-5</c:v>
                      </c:pt>
                      <c:pt idx="4">
                        <c:v>6.0392045878959601E-5</c:v>
                      </c:pt>
                      <c:pt idx="5">
                        <c:v>5.96641847765005E-5</c:v>
                      </c:pt>
                      <c:pt idx="6">
                        <c:v>5.8933469339110802E-5</c:v>
                      </c:pt>
                      <c:pt idx="7">
                        <c:v>5.82026903234906E-5</c:v>
                      </c:pt>
                      <c:pt idx="8">
                        <c:v>5.7474265304787198E-5</c:v>
                      </c:pt>
                      <c:pt idx="9">
                        <c:v>5.6750289434151502E-5</c:v>
                      </c:pt>
                      <c:pt idx="10">
                        <c:v>5.6032578238289399E-5</c:v>
                      </c:pt>
                      <c:pt idx="11">
                        <c:v>5.5322703736230399E-5</c:v>
                      </c:pt>
                      <c:pt idx="12">
                        <c:v>5.4622024934192399E-5</c:v>
                      </c:pt>
                      <c:pt idx="13">
                        <c:v>5.3931713585943599E-5</c:v>
                      </c:pt>
                      <c:pt idx="14">
                        <c:v>5.3252775965103802E-5</c:v>
                      </c:pt>
                      <c:pt idx="15">
                        <c:v>5.2586071280767599E-5</c:v>
                      </c:pt>
                      <c:pt idx="16">
                        <c:v>5.1932327273408803E-5</c:v>
                      </c:pt>
                      <c:pt idx="17">
                        <c:v>5.1292153449999699E-5</c:v>
                      </c:pt>
                      <c:pt idx="18">
                        <c:v>5.0666052352276898E-5</c:v>
                      </c:pt>
                      <c:pt idx="19">
                        <c:v>5.0054429197361603E-5</c:v>
                      </c:pt>
                      <c:pt idx="20">
                        <c:v>4.94576001833238E-5</c:v>
                      </c:pt>
                      <c:pt idx="21">
                        <c:v>4.8875799712014602E-5</c:v>
                      </c:pt>
                      <c:pt idx="22">
                        <c:v>4.8309186746206302E-5</c:v>
                      </c:pt>
                      <c:pt idx="23">
                        <c:v>4.77578504867142E-5</c:v>
                      </c:pt>
                      <c:pt idx="24">
                        <c:v>4.7221815526926901E-5</c:v>
                      </c:pt>
                      <c:pt idx="25">
                        <c:v>4.6701046616464797E-5</c:v>
                      </c:pt>
                      <c:pt idx="26">
                        <c:v>4.6195453142131098E-5</c:v>
                      </c:pt>
                      <c:pt idx="27">
                        <c:v>4.5704893412678E-5</c:v>
                      </c:pt>
                      <c:pt idx="28">
                        <c:v>4.52291788140626E-5</c:v>
                      </c:pt>
                      <c:pt idx="29">
                        <c:v>4.4768077883789901E-5</c:v>
                      </c:pt>
                      <c:pt idx="30">
                        <c:v>4.4321320336661702E-5</c:v>
                      </c:pt>
                      <c:pt idx="31">
                        <c:v>4.3888601059842798E-5</c:v>
                      </c:pt>
                      <c:pt idx="32">
                        <c:v>4.3469584082685002E-5</c:v>
                      </c:pt>
                      <c:pt idx="33">
                        <c:v>4.3063906516290802E-5</c:v>
                      </c:pt>
                      <c:pt idx="34">
                        <c:v>4.2671182449369298E-5</c:v>
                      </c:pt>
                      <c:pt idx="35">
                        <c:v>4.2291006780540897E-5</c:v>
                      </c:pt>
                      <c:pt idx="36">
                        <c:v>4.1922958962823202E-5</c:v>
                      </c:pt>
                      <c:pt idx="37">
                        <c:v>4.15666066334683E-5</c:v>
                      </c:pt>
                      <c:pt idx="38">
                        <c:v>4.12215091014739E-5</c:v>
                      </c:pt>
                      <c:pt idx="39">
                        <c:v>4.0887220665757399E-5</c:v>
                      </c:pt>
                      <c:pt idx="40">
                        <c:v>4.05632937389308E-5</c:v>
                      </c:pt>
                      <c:pt idx="41">
                        <c:v>4.0249281754611301E-5</c:v>
                      </c:pt>
                      <c:pt idx="42">
                        <c:v>3.9944741839969E-5</c:v>
                      </c:pt>
                      <c:pt idx="43">
                        <c:v>3.9649237239511997E-5</c:v>
                      </c:pt>
                      <c:pt idx="44">
                        <c:v>3.9362339480687302E-5</c:v>
                      </c:pt>
                      <c:pt idx="45">
                        <c:v>3.9083630276516198E-5</c:v>
                      </c:pt>
                      <c:pt idx="46">
                        <c:v>3.8812703164992298E-5</c:v>
                      </c:pt>
                      <c:pt idx="47">
                        <c:v>3.8549164889189697E-5</c:v>
                      </c:pt>
                      <c:pt idx="48">
                        <c:v>3.8292636525839299E-5</c:v>
                      </c:pt>
                      <c:pt idx="49">
                        <c:v>3.8042754373433003E-5</c:v>
                      </c:pt>
                      <c:pt idx="50">
                        <c:v>3.7799170613670702E-5</c:v>
                      </c:pt>
                      <c:pt idx="51">
                        <c:v>3.7561553762232597E-5</c:v>
                      </c:pt>
                      <c:pt idx="52">
                        <c:v>3.7329588926456397E-5</c:v>
                      </c:pt>
                      <c:pt idx="53">
                        <c:v>3.7102977888539199E-5</c:v>
                      </c:pt>
                      <c:pt idx="54">
                        <c:v>3.6881439033416001E-5</c:v>
                      </c:pt>
                      <c:pt idx="55">
                        <c:v>3.66647071405405E-5</c:v>
                      </c:pt>
                      <c:pt idx="56">
                        <c:v>3.6452533058469702E-5</c:v>
                      </c:pt>
                      <c:pt idx="57">
                        <c:v>3.6244683280504199E-5</c:v>
                      </c:pt>
                      <c:pt idx="58">
                        <c:v>3.6040939438710397E-5</c:v>
                      </c:pt>
                      <c:pt idx="59">
                        <c:v>3.5841097732534201E-5</c:v>
                      </c:pt>
                      <c:pt idx="60">
                        <c:v>3.5644968306946099E-5</c:v>
                      </c:pt>
                      <c:pt idx="61">
                        <c:v>3.5452374593699997E-5</c:v>
                      </c:pt>
                      <c:pt idx="62">
                        <c:v>3.5263152627887397E-5</c:v>
                      </c:pt>
                      <c:pt idx="63">
                        <c:v>3.5077150350560699E-5</c:v>
                      </c:pt>
                      <c:pt idx="64">
                        <c:v>3.48942269068199E-5</c:v>
                      </c:pt>
                      <c:pt idx="65">
                        <c:v>3.4714251947430902E-5</c:v>
                      </c:pt>
                      <c:pt idx="66">
                        <c:v>3.45371049407914E-5</c:v>
                      </c:pt>
                      <c:pt idx="67">
                        <c:v>3.4362674500892701E-5</c:v>
                      </c:pt>
                      <c:pt idx="68">
                        <c:v>3.4190857735858403E-5</c:v>
                      </c:pt>
                      <c:pt idx="69">
                        <c:v>3.4021559620670101E-5</c:v>
                      </c:pt>
                      <c:pt idx="70">
                        <c:v>3.38546923968246E-5</c:v>
                      </c:pt>
                      <c:pt idx="71">
                        <c:v>3.3690175000904899E-5</c:v>
                      </c:pt>
                      <c:pt idx="72">
                        <c:v>3.3527932523374599E-5</c:v>
                      </c:pt>
                      <c:pt idx="73">
                        <c:v>3.3367895698338301E-5</c:v>
                      </c:pt>
                      <c:pt idx="74">
                        <c:v>3.3210000424514301E-5</c:v>
                      </c:pt>
                      <c:pt idx="75">
                        <c:v>3.3054187317266298E-5</c:v>
                      </c:pt>
                      <c:pt idx="76">
                        <c:v>3.2900401291195803E-5</c:v>
                      </c:pt>
                      <c:pt idx="77">
                        <c:v>3.2748591172533397E-5</c:v>
                      </c:pt>
                      <c:pt idx="78">
                        <c:v>3.2598709340345998E-5</c:v>
                      </c:pt>
                      <c:pt idx="79">
                        <c:v>3.2450711395420297E-5</c:v>
                      </c:pt>
                      <c:pt idx="80">
                        <c:v>3.2304555855556903E-5</c:v>
                      </c:pt>
                      <c:pt idx="81">
                        <c:v>3.2160203875931501E-5</c:v>
                      </c:pt>
                      <c:pt idx="82">
                        <c:v>3.2017618993127597E-5</c:v>
                      </c:pt>
                      <c:pt idx="83">
                        <c:v>3.1876766891421702E-5</c:v>
                      </c:pt>
                      <c:pt idx="84">
                        <c:v>3.1737615189901202E-5</c:v>
                      </c:pt>
                      <c:pt idx="85">
                        <c:v>3.1600133249010698E-5</c:v>
                      </c:pt>
                      <c:pt idx="86">
                        <c:v>3.14642919951542E-5</c:v>
                      </c:pt>
                      <c:pt idx="87">
                        <c:v>3.1330063762022998E-5</c:v>
                      </c:pt>
                      <c:pt idx="88">
                        <c:v>3.1197422147369402E-5</c:v>
                      </c:pt>
                      <c:pt idx="89">
                        <c:v>3.1066341884003601E-5</c:v>
                      </c:pt>
                      <c:pt idx="90">
                        <c:v>3.0936798723852001E-5</c:v>
                      </c:pt>
                      <c:pt idx="91">
                        <c:v>3.0808769333980799E-5</c:v>
                      </c:pt>
                      <c:pt idx="92">
                        <c:v>3.0682231203550603E-5</c:v>
                      </c:pt>
                      <c:pt idx="93">
                        <c:v>3.0557162560737202E-5</c:v>
                      </c:pt>
                      <c:pt idx="94">
                        <c:v>3.0433542298716398E-5</c:v>
                      </c:pt>
                      <c:pt idx="95">
                        <c:v>3.0311349909871801E-5</c:v>
                      </c:pt>
                      <c:pt idx="96">
                        <c:v>3.0190565427452202E-5</c:v>
                      </c:pt>
                      <c:pt idx="97">
                        <c:v>3.0071169373955901E-5</c:v>
                      </c:pt>
                      <c:pt idx="98">
                        <c:v>2.9953142715583999E-5</c:v>
                      </c:pt>
                      <c:pt idx="99">
                        <c:v>2.9836466822150899E-5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B5FC-4FA2-A613-40BF8D409FAC}"/>
                  </c:ext>
                </c:extLst>
              </c15:ser>
            </c15:filteredScatterSeries>
          </c:ext>
        </c:extLst>
      </c:scatterChart>
      <c:valAx>
        <c:axId val="1542228239"/>
        <c:scaling>
          <c:orientation val="minMax"/>
          <c:max val="8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540911"/>
        <c:crosses val="autoZero"/>
        <c:crossBetween val="midCat"/>
      </c:valAx>
      <c:valAx>
        <c:axId val="1673540911"/>
        <c:scaling>
          <c:logBase val="10"/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Gth (W/K)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22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185737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A6175-CBA6-4700-A526-9CA640567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185737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0CC78-7618-4E2B-9DA5-2516B8AB9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185737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FA8D9-0D28-4C96-B1CB-3EA06DCD0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395287</xdr:colOff>
      <xdr:row>11</xdr:row>
      <xdr:rowOff>185737</xdr:rowOff>
    </xdr:from>
    <xdr:to>
      <xdr:col>18</xdr:col>
      <xdr:colOff>90487</xdr:colOff>
      <xdr:row>26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036D65-FCE5-48FD-872F-71CB1B080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C2" sqref="C2:G2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6</v>
      </c>
    </row>
    <row r="2" spans="1:7" x14ac:dyDescent="0.25">
      <c r="A2">
        <v>303.338536246964</v>
      </c>
      <c r="B2">
        <v>1.0752688172042999</v>
      </c>
      <c r="C2" s="1">
        <f>B2*$G$7</f>
        <v>5.3763440860214999E-2</v>
      </c>
    </row>
    <row r="3" spans="1:7" x14ac:dyDescent="0.25">
      <c r="A3">
        <v>316.65799514394701</v>
      </c>
      <c r="B3">
        <v>1.10752688172043</v>
      </c>
      <c r="C3" s="1">
        <f>B3*$G$7</f>
        <v>5.5376344086021503E-2</v>
      </c>
      <c r="F3" t="s">
        <v>2</v>
      </c>
      <c r="G3" s="1">
        <v>1.4999999999999999E-4</v>
      </c>
    </row>
    <row r="4" spans="1:7" x14ac:dyDescent="0.25">
      <c r="A4">
        <v>329.78017689906301</v>
      </c>
      <c r="B4">
        <v>1.1505376344086</v>
      </c>
      <c r="C4" s="1">
        <f>B4*$G$7</f>
        <v>5.7526881720430002E-2</v>
      </c>
      <c r="F4" t="s">
        <v>3</v>
      </c>
      <c r="G4" s="1">
        <v>1.0000000000000001E-5</v>
      </c>
    </row>
    <row r="5" spans="1:7" x14ac:dyDescent="0.25">
      <c r="A5">
        <v>343.30775234131102</v>
      </c>
      <c r="B5">
        <v>1.19892473118279</v>
      </c>
      <c r="C5" s="1">
        <f>B5*$G$7</f>
        <v>5.9946236559139499E-2</v>
      </c>
      <c r="F5" t="s">
        <v>4</v>
      </c>
      <c r="G5" s="1">
        <v>2.9999999999999997E-8</v>
      </c>
    </row>
    <row r="6" spans="1:7" x14ac:dyDescent="0.25">
      <c r="A6">
        <v>356.633714880333</v>
      </c>
      <c r="B6">
        <v>1.2473118279569799</v>
      </c>
      <c r="C6" s="1">
        <f>B6*$G$7</f>
        <v>6.2365591397849002E-2</v>
      </c>
    </row>
    <row r="7" spans="1:7" x14ac:dyDescent="0.25">
      <c r="A7">
        <v>369.76673603884802</v>
      </c>
      <c r="B7">
        <v>1.3172043010752601</v>
      </c>
      <c r="C7" s="1">
        <f>B7*$G$7</f>
        <v>6.5860215053763008E-2</v>
      </c>
      <c r="F7" t="s">
        <v>5</v>
      </c>
      <c r="G7" s="1">
        <f>G4*G3/G5</f>
        <v>0.05</v>
      </c>
    </row>
    <row r="8" spans="1:7" x14ac:dyDescent="0.25">
      <c r="A8">
        <v>383.30731876517501</v>
      </c>
      <c r="B8">
        <v>1.3978494623655899</v>
      </c>
      <c r="C8" s="1">
        <f>B8*$G$7</f>
        <v>6.9892473118279494E-2</v>
      </c>
    </row>
    <row r="9" spans="1:7" x14ac:dyDescent="0.25">
      <c r="A9">
        <v>396.650624349635</v>
      </c>
      <c r="B9">
        <v>1.4892473118279499</v>
      </c>
      <c r="C9" s="1">
        <f>B9*$G$7</f>
        <v>7.4462365591397503E-2</v>
      </c>
      <c r="F9" t="s">
        <v>7</v>
      </c>
    </row>
    <row r="10" spans="1:7" x14ac:dyDescent="0.25">
      <c r="A10">
        <v>410.40365938258702</v>
      </c>
      <c r="B10">
        <v>1.5967741935483799</v>
      </c>
      <c r="C10" s="1">
        <f>B10*$G$7</f>
        <v>7.9838709677419004E-2</v>
      </c>
      <c r="F10" t="s">
        <v>8</v>
      </c>
    </row>
    <row r="11" spans="1:7" x14ac:dyDescent="0.25">
      <c r="A11">
        <v>423.75130072840699</v>
      </c>
      <c r="B11">
        <v>1.69892473118279</v>
      </c>
      <c r="C11" s="1">
        <f>B11*$G$7</f>
        <v>8.4946236559139507E-2</v>
      </c>
    </row>
    <row r="12" spans="1:7" x14ac:dyDescent="0.25">
      <c r="A12">
        <v>436.89299340964197</v>
      </c>
      <c r="B12">
        <v>1.7903225806451599</v>
      </c>
      <c r="C12" s="1">
        <f>B12*$G$7</f>
        <v>8.9516129032258002E-2</v>
      </c>
    </row>
    <row r="13" spans="1:7" x14ac:dyDescent="0.25">
      <c r="A13">
        <v>450.23413111342302</v>
      </c>
      <c r="B13">
        <v>1.8763440860214999</v>
      </c>
      <c r="C13" s="1">
        <f>B13*$G$7</f>
        <v>9.3817204301075E-2</v>
      </c>
    </row>
    <row r="14" spans="1:7" x14ac:dyDescent="0.25">
      <c r="A14">
        <v>463.57093305584402</v>
      </c>
      <c r="B14">
        <v>1.9516129032258001</v>
      </c>
      <c r="C14" s="1">
        <f>B14*$G$7</f>
        <v>9.7580645161290003E-2</v>
      </c>
    </row>
    <row r="15" spans="1:7" x14ac:dyDescent="0.25">
      <c r="A15">
        <v>477.30445716267701</v>
      </c>
      <c r="B15">
        <v>2.0107526881720399</v>
      </c>
      <c r="C15" s="1">
        <f>B15*$G$7</f>
        <v>0.100537634408602</v>
      </c>
    </row>
    <row r="16" spans="1:7" x14ac:dyDescent="0.25">
      <c r="A16">
        <v>490.63475546305898</v>
      </c>
      <c r="B16">
        <v>2.0698924731182702</v>
      </c>
      <c r="C16" s="1">
        <f>B16*$G$7</f>
        <v>0.10349462365591351</v>
      </c>
    </row>
    <row r="17" spans="1:3" x14ac:dyDescent="0.25">
      <c r="A17">
        <v>503.78078390565298</v>
      </c>
      <c r="B17">
        <v>2.17204301075268</v>
      </c>
      <c r="C17" s="1">
        <f>B17*$G$7</f>
        <v>0.108602150537634</v>
      </c>
    </row>
    <row r="18" spans="1:3" x14ac:dyDescent="0.25">
      <c r="A18">
        <v>517.34521331945803</v>
      </c>
      <c r="B18">
        <v>2.3118279569892399</v>
      </c>
      <c r="C18" s="1">
        <f>B18*$G$7</f>
        <v>0.115591397849462</v>
      </c>
    </row>
    <row r="19" spans="1:3" x14ac:dyDescent="0.25">
      <c r="A19">
        <v>531.08957682969105</v>
      </c>
      <c r="B19">
        <v>2.3978494623655902</v>
      </c>
      <c r="C19" s="1">
        <f>B19*$G$7</f>
        <v>0.11989247311827951</v>
      </c>
    </row>
    <row r="20" spans="1:3" x14ac:dyDescent="0.25">
      <c r="A20">
        <v>544.42854665279197</v>
      </c>
      <c r="B20">
        <v>2.47849462365591</v>
      </c>
      <c r="C20" s="1">
        <f>B20*$G$7</f>
        <v>0.12392473118279551</v>
      </c>
    </row>
    <row r="21" spans="1:3" x14ac:dyDescent="0.25">
      <c r="A21">
        <v>557.35561914672201</v>
      </c>
      <c r="B21">
        <v>2.5376344086021501</v>
      </c>
      <c r="C21" s="1">
        <f>B21*$G$7</f>
        <v>0.12688172043010751</v>
      </c>
    </row>
    <row r="22" spans="1:3" x14ac:dyDescent="0.25">
      <c r="A22">
        <v>570.90270551508797</v>
      </c>
      <c r="B22">
        <v>2.63440860215053</v>
      </c>
      <c r="C22" s="1">
        <f>B22*$G$7</f>
        <v>0.13172043010752651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62EF-591B-4D14-A5DD-8C511FD2C935}">
  <dimension ref="A1:G22"/>
  <sheetViews>
    <sheetView workbookViewId="0">
      <selection activeCell="B1" sqref="A1:B1048576"/>
    </sheetView>
  </sheetViews>
  <sheetFormatPr defaultRowHeight="15" x14ac:dyDescent="0.25"/>
  <sheetData>
    <row r="1" spans="1:7" x14ac:dyDescent="0.25">
      <c r="A1" t="s">
        <v>16</v>
      </c>
      <c r="B1" t="s">
        <v>17</v>
      </c>
      <c r="C1" t="s">
        <v>18</v>
      </c>
    </row>
    <row r="2" spans="1:7" x14ac:dyDescent="0.25">
      <c r="A2">
        <v>300.45851670388203</v>
      </c>
      <c r="B2">
        <v>1.8416545624037699E-2</v>
      </c>
      <c r="C2" s="1">
        <f>B2*$G$7</f>
        <v>9.2082728120188506E-4</v>
      </c>
    </row>
    <row r="3" spans="1:7" x14ac:dyDescent="0.25">
      <c r="A3">
        <v>320.12270470657</v>
      </c>
      <c r="B3">
        <v>1.2687796735100801E-2</v>
      </c>
      <c r="C3" s="1">
        <f t="shared" ref="C3:C22" si="0">B3*$G$7</f>
        <v>6.3438983675504011E-4</v>
      </c>
      <c r="F3" t="s">
        <v>2</v>
      </c>
      <c r="G3" s="1">
        <v>1.4999999999999999E-4</v>
      </c>
    </row>
    <row r="4" spans="1:7" x14ac:dyDescent="0.25">
      <c r="A4">
        <v>340.09257051184699</v>
      </c>
      <c r="B4">
        <v>4.2653977063322702E-3</v>
      </c>
      <c r="C4" s="1">
        <f t="shared" si="0"/>
        <v>2.1326988531661351E-4</v>
      </c>
      <c r="F4" t="s">
        <v>3</v>
      </c>
      <c r="G4" s="1">
        <v>1.0000000000000001E-5</v>
      </c>
    </row>
    <row r="5" spans="1:7" x14ac:dyDescent="0.25">
      <c r="A5">
        <v>360.05918442560699</v>
      </c>
      <c r="B5">
        <v>6.5959199601099902E-3</v>
      </c>
      <c r="C5" s="1">
        <f t="shared" si="0"/>
        <v>3.2979599800549955E-4</v>
      </c>
      <c r="F5" t="s">
        <v>4</v>
      </c>
      <c r="G5" s="1">
        <v>2.9999999999999997E-8</v>
      </c>
    </row>
    <row r="6" spans="1:7" x14ac:dyDescent="0.25">
      <c r="A6">
        <v>380.620894486959</v>
      </c>
      <c r="B6">
        <v>8.5091161358863399E-4</v>
      </c>
      <c r="C6" s="1">
        <f t="shared" si="0"/>
        <v>4.2545580679431703E-5</v>
      </c>
    </row>
    <row r="7" spans="1:7" x14ac:dyDescent="0.25">
      <c r="A7">
        <v>400.27207492358002</v>
      </c>
      <c r="B7">
        <v>5.87508400719749E-3</v>
      </c>
      <c r="C7" s="1">
        <f t="shared" si="0"/>
        <v>2.9375420035987455E-4</v>
      </c>
      <c r="F7" t="s">
        <v>5</v>
      </c>
      <c r="G7" s="1">
        <f>G4*G3/G5</f>
        <v>0.05</v>
      </c>
    </row>
    <row r="8" spans="1:7" x14ac:dyDescent="0.25">
      <c r="A8">
        <v>420.53461096537802</v>
      </c>
      <c r="B8">
        <v>5.51195612114363E-3</v>
      </c>
      <c r="C8" s="1">
        <f t="shared" si="0"/>
        <v>2.7559780605718149E-4</v>
      </c>
    </row>
    <row r="9" spans="1:7" x14ac:dyDescent="0.25">
      <c r="A9">
        <v>439.893121165477</v>
      </c>
      <c r="B9">
        <v>2.4768573720379502E-3</v>
      </c>
      <c r="C9" s="1">
        <f t="shared" si="0"/>
        <v>1.238428686018975E-4</v>
      </c>
      <c r="F9" t="s">
        <v>7</v>
      </c>
    </row>
    <row r="10" spans="1:7" x14ac:dyDescent="0.25">
      <c r="A10">
        <v>460.754005246384</v>
      </c>
      <c r="B10">
        <v>7.47935048886749E-3</v>
      </c>
      <c r="C10" s="1">
        <f t="shared" si="0"/>
        <v>3.7396752444337453E-4</v>
      </c>
      <c r="F10" t="s">
        <v>15</v>
      </c>
    </row>
    <row r="11" spans="1:7" x14ac:dyDescent="0.25">
      <c r="A11">
        <v>481.01003750514798</v>
      </c>
      <c r="B11">
        <v>1.2492683244087E-2</v>
      </c>
      <c r="C11" s="1">
        <f t="shared" si="0"/>
        <v>6.2463416220434999E-4</v>
      </c>
    </row>
    <row r="12" spans="1:7" x14ac:dyDescent="0.25">
      <c r="A12">
        <v>500.94088061222197</v>
      </c>
      <c r="B12">
        <v>3.6329048062956303E-2</v>
      </c>
      <c r="C12" s="1">
        <f t="shared" si="0"/>
        <v>1.8164524031478151E-3</v>
      </c>
    </row>
    <row r="13" spans="1:7" x14ac:dyDescent="0.25">
      <c r="A13">
        <v>521.19691287098601</v>
      </c>
      <c r="B13">
        <v>4.1342380818175803E-2</v>
      </c>
      <c r="C13" s="1">
        <f t="shared" si="0"/>
        <v>2.0671190409087903E-3</v>
      </c>
    </row>
    <row r="14" spans="1:7" x14ac:dyDescent="0.25">
      <c r="A14">
        <v>541.12125219502605</v>
      </c>
      <c r="B14">
        <v>7.0555206278318502E-2</v>
      </c>
      <c r="C14" s="1">
        <f t="shared" si="0"/>
        <v>3.5277603139159254E-3</v>
      </c>
    </row>
    <row r="15" spans="1:7" x14ac:dyDescent="0.25">
      <c r="A15">
        <v>561.31224662345198</v>
      </c>
      <c r="B15">
        <v>0.12933314544626701</v>
      </c>
      <c r="C15" s="1">
        <f t="shared" si="0"/>
        <v>6.4666572723133505E-3</v>
      </c>
    </row>
    <row r="16" spans="1:7" x14ac:dyDescent="0.25">
      <c r="A16">
        <v>581.22683027294102</v>
      </c>
      <c r="B16">
        <v>0.16661066186831999</v>
      </c>
      <c r="C16" s="1">
        <f t="shared" si="0"/>
        <v>8.330533093416E-3</v>
      </c>
    </row>
    <row r="17" spans="1:3" x14ac:dyDescent="0.25">
      <c r="A17">
        <v>600.80972098770701</v>
      </c>
      <c r="B17">
        <v>0.22808767099529501</v>
      </c>
      <c r="C17" s="1">
        <f t="shared" si="0"/>
        <v>1.1404383549764752E-2</v>
      </c>
    </row>
    <row r="18" spans="1:3" x14ac:dyDescent="0.25">
      <c r="A18">
        <v>620.99095974158297</v>
      </c>
      <c r="B18">
        <v>0.294930301125154</v>
      </c>
      <c r="C18" s="1">
        <f t="shared" si="0"/>
        <v>1.4746515056257702E-2</v>
      </c>
    </row>
    <row r="19" spans="1:3" x14ac:dyDescent="0.25">
      <c r="A19">
        <v>641.20471741062704</v>
      </c>
      <c r="B19">
        <v>0.334890628048647</v>
      </c>
      <c r="C19" s="1">
        <f t="shared" si="0"/>
        <v>1.6744531402432351E-2</v>
      </c>
    </row>
    <row r="20" spans="1:3" x14ac:dyDescent="0.25">
      <c r="A20">
        <v>661.09653781949805</v>
      </c>
      <c r="B20">
        <v>0.39098575671515501</v>
      </c>
      <c r="C20" s="1">
        <f t="shared" si="0"/>
        <v>1.9549287835757753E-2</v>
      </c>
    </row>
    <row r="21" spans="1:3" x14ac:dyDescent="0.25">
      <c r="A21">
        <v>680.70219177488195</v>
      </c>
      <c r="B21">
        <v>0.43364515359767503</v>
      </c>
      <c r="C21" s="1">
        <f t="shared" si="0"/>
        <v>2.1682257679883753E-2</v>
      </c>
    </row>
    <row r="22" spans="1:3" x14ac:dyDescent="0.25">
      <c r="A22">
        <v>700.91269755240899</v>
      </c>
      <c r="B22">
        <v>0.476293710841806</v>
      </c>
      <c r="C22" s="1">
        <f t="shared" si="0"/>
        <v>2.3814685542090302E-2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>
        <v>303.338536246964</v>
      </c>
      <c r="B2">
        <v>5.3763440860214999E-2</v>
      </c>
    </row>
    <row r="3" spans="1:2" x14ac:dyDescent="0.25">
      <c r="A3">
        <v>316.65799514394701</v>
      </c>
      <c r="B3">
        <v>5.5376344086021503E-2</v>
      </c>
    </row>
    <row r="4" spans="1:2" x14ac:dyDescent="0.25">
      <c r="A4">
        <v>329.78017689906301</v>
      </c>
      <c r="B4">
        <v>5.7526881720430002E-2</v>
      </c>
    </row>
    <row r="5" spans="1:2" x14ac:dyDescent="0.25">
      <c r="A5">
        <v>343.30775234131102</v>
      </c>
      <c r="B5">
        <v>5.9946236559139499E-2</v>
      </c>
    </row>
    <row r="6" spans="1:2" x14ac:dyDescent="0.25">
      <c r="A6">
        <v>356.633714880333</v>
      </c>
      <c r="B6">
        <v>6.2365591397849002E-2</v>
      </c>
    </row>
    <row r="7" spans="1:2" x14ac:dyDescent="0.25">
      <c r="A7">
        <v>369.76673603884802</v>
      </c>
      <c r="B7">
        <v>6.5860215053763008E-2</v>
      </c>
    </row>
    <row r="8" spans="1:2" x14ac:dyDescent="0.25">
      <c r="A8">
        <v>383.30731876517501</v>
      </c>
      <c r="B8">
        <v>6.9892473118279494E-2</v>
      </c>
    </row>
    <row r="9" spans="1:2" x14ac:dyDescent="0.25">
      <c r="A9">
        <v>396.650624349635</v>
      </c>
      <c r="B9">
        <v>7.4462365591397503E-2</v>
      </c>
    </row>
    <row r="10" spans="1:2" x14ac:dyDescent="0.25">
      <c r="A10">
        <v>410.40365938258702</v>
      </c>
      <c r="B10">
        <v>7.9838709677419004E-2</v>
      </c>
    </row>
    <row r="11" spans="1:2" x14ac:dyDescent="0.25">
      <c r="A11">
        <v>423.75130072840699</v>
      </c>
      <c r="B11">
        <v>8.4946236559139507E-2</v>
      </c>
    </row>
    <row r="12" spans="1:2" x14ac:dyDescent="0.25">
      <c r="A12">
        <v>436.89299340964197</v>
      </c>
      <c r="B12">
        <v>8.9516129032258002E-2</v>
      </c>
    </row>
    <row r="13" spans="1:2" x14ac:dyDescent="0.25">
      <c r="A13">
        <v>450.23413111342302</v>
      </c>
      <c r="B13">
        <v>9.3817204301075E-2</v>
      </c>
    </row>
    <row r="14" spans="1:2" x14ac:dyDescent="0.25">
      <c r="A14">
        <v>463.57093305584402</v>
      </c>
      <c r="B14">
        <v>9.7580645161290003E-2</v>
      </c>
    </row>
    <row r="15" spans="1:2" x14ac:dyDescent="0.25">
      <c r="A15">
        <v>477.30445716267701</v>
      </c>
      <c r="B15">
        <v>0.100537634408602</v>
      </c>
    </row>
    <row r="16" spans="1:2" x14ac:dyDescent="0.25">
      <c r="A16">
        <v>490.63475546305898</v>
      </c>
      <c r="B16">
        <v>0.10349462365591351</v>
      </c>
    </row>
    <row r="17" spans="1:2" x14ac:dyDescent="0.25">
      <c r="A17">
        <v>503.78078390565298</v>
      </c>
      <c r="B17">
        <v>0.108602150537634</v>
      </c>
    </row>
    <row r="18" spans="1:2" x14ac:dyDescent="0.25">
      <c r="A18">
        <v>517.34521331945803</v>
      </c>
      <c r="B18">
        <v>0.115591397849462</v>
      </c>
    </row>
    <row r="19" spans="1:2" x14ac:dyDescent="0.25">
      <c r="A19">
        <v>531.08957682969105</v>
      </c>
      <c r="B19">
        <v>0.11989247311827951</v>
      </c>
    </row>
    <row r="20" spans="1:2" x14ac:dyDescent="0.25">
      <c r="A20">
        <v>544.42854665279197</v>
      </c>
      <c r="B20">
        <v>0.12392473118279551</v>
      </c>
    </row>
    <row r="21" spans="1:2" x14ac:dyDescent="0.25">
      <c r="A21">
        <v>557.35561914672201</v>
      </c>
      <c r="B21">
        <v>0.12688172043010751</v>
      </c>
    </row>
    <row r="22" spans="1:2" x14ac:dyDescent="0.25">
      <c r="A22">
        <v>570.90270551508797</v>
      </c>
      <c r="B22">
        <v>0.13172043010752651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19</v>
      </c>
      <c r="C1" t="s">
        <v>20</v>
      </c>
    </row>
    <row r="2" spans="1:3" x14ac:dyDescent="0.25">
      <c r="A2">
        <v>300</v>
      </c>
      <c r="B2">
        <v>5.3267842787655402E-2</v>
      </c>
      <c r="C2">
        <v>9.3061370954630404E-4</v>
      </c>
    </row>
    <row r="3" spans="1:3" x14ac:dyDescent="0.25">
      <c r="A3">
        <v>307.07070707070699</v>
      </c>
      <c r="B3">
        <v>5.4177672379023503E-2</v>
      </c>
      <c r="C3">
        <v>7.8703808319938499E-4</v>
      </c>
    </row>
    <row r="4" spans="1:3" x14ac:dyDescent="0.25">
      <c r="A4">
        <v>314.14141414141397</v>
      </c>
      <c r="B4">
        <v>5.5122816394185703E-2</v>
      </c>
      <c r="C4">
        <v>6.6371700411662195E-4</v>
      </c>
    </row>
    <row r="5" spans="1:3" x14ac:dyDescent="0.25">
      <c r="A5">
        <v>321.21212121212102</v>
      </c>
      <c r="B5">
        <v>5.6116749798300003E-2</v>
      </c>
      <c r="C5">
        <v>5.5841183740342403E-4</v>
      </c>
    </row>
    <row r="6" spans="1:3" x14ac:dyDescent="0.25">
      <c r="A6">
        <v>328.28282828282801</v>
      </c>
      <c r="B6">
        <v>5.7176179927581297E-2</v>
      </c>
      <c r="C6">
        <v>4.69149283911801E-4</v>
      </c>
    </row>
    <row r="7" spans="1:3" x14ac:dyDescent="0.25">
      <c r="A7">
        <v>335.35353535353499</v>
      </c>
      <c r="B7">
        <v>5.8320953347055102E-2</v>
      </c>
      <c r="C7">
        <v>3.9418484074871002E-4</v>
      </c>
    </row>
    <row r="8" spans="1:3" x14ac:dyDescent="0.25">
      <c r="A8">
        <v>342.42424242424198</v>
      </c>
      <c r="B8">
        <v>5.9573398714873403E-2</v>
      </c>
      <c r="C8">
        <v>3.3197153313051702E-4</v>
      </c>
    </row>
    <row r="9" spans="1:3" x14ac:dyDescent="0.25">
      <c r="A9">
        <v>349.49494949494999</v>
      </c>
      <c r="B9">
        <v>6.0956894177025302E-2</v>
      </c>
      <c r="C9">
        <v>2.8113301260388802E-4</v>
      </c>
    </row>
    <row r="10" spans="1:3" x14ac:dyDescent="0.25">
      <c r="A10">
        <v>356.56565656565698</v>
      </c>
      <c r="B10">
        <v>6.2493552817985E-2</v>
      </c>
      <c r="C10">
        <v>2.40440290611592E-4</v>
      </c>
    </row>
    <row r="11" spans="1:3" x14ac:dyDescent="0.25">
      <c r="A11">
        <v>363.63636363636402</v>
      </c>
      <c r="B11">
        <v>6.4201155979042607E-2</v>
      </c>
      <c r="C11">
        <v>2.0879152916832201E-4</v>
      </c>
    </row>
    <row r="12" spans="1:3" x14ac:dyDescent="0.25">
      <c r="A12">
        <v>370.70707070707101</v>
      </c>
      <c r="B12">
        <v>6.6089807361603997E-2</v>
      </c>
      <c r="C12">
        <v>1.85194455415865E-4</v>
      </c>
    </row>
    <row r="13" spans="1:3" x14ac:dyDescent="0.25">
      <c r="A13">
        <v>377.777777777778</v>
      </c>
      <c r="B13">
        <v>6.8159109031249804E-2</v>
      </c>
      <c r="C13">
        <v>1.6875111949029499E-4</v>
      </c>
    </row>
    <row r="14" spans="1:3" x14ac:dyDescent="0.25">
      <c r="A14">
        <v>384.84848484848499</v>
      </c>
      <c r="B14">
        <v>7.0396773594946699E-2</v>
      </c>
      <c r="C14">
        <v>1.58644895069158E-4</v>
      </c>
    </row>
    <row r="15" spans="1:3" x14ac:dyDescent="0.25">
      <c r="A15">
        <v>391.91919191919197</v>
      </c>
      <c r="B15">
        <v>7.27793196471897E-2</v>
      </c>
      <c r="C15">
        <v>1.5412985575385501E-4</v>
      </c>
    </row>
    <row r="16" spans="1:3" x14ac:dyDescent="0.25">
      <c r="A16">
        <v>398.98989898989902</v>
      </c>
      <c r="B16">
        <v>7.5274875019650106E-2</v>
      </c>
      <c r="C16">
        <v>1.5452298540484399E-4</v>
      </c>
    </row>
    <row r="17" spans="1:3" x14ac:dyDescent="0.25">
      <c r="A17">
        <v>406.06060606060601</v>
      </c>
      <c r="B17">
        <v>7.7847402360557497E-2</v>
      </c>
      <c r="C17">
        <v>1.59200149778572E-4</v>
      </c>
    </row>
    <row r="18" spans="1:3" x14ac:dyDescent="0.25">
      <c r="A18">
        <v>413.13131313131299</v>
      </c>
      <c r="B18">
        <v>8.0461226109743003E-2</v>
      </c>
      <c r="C18">
        <v>1.6759744560535699E-4</v>
      </c>
    </row>
    <row r="19" spans="1:3" x14ac:dyDescent="0.25">
      <c r="A19">
        <v>420.20202020201998</v>
      </c>
      <c r="B19">
        <v>8.3084782027849205E-2</v>
      </c>
      <c r="C19">
        <v>1.7922055652911401E-4</v>
      </c>
    </row>
    <row r="20" spans="1:3" x14ac:dyDescent="0.25">
      <c r="A20">
        <v>427.27272727272702</v>
      </c>
      <c r="B20">
        <v>8.5692943740310001E-2</v>
      </c>
      <c r="C20">
        <v>1.9366622443487701E-4</v>
      </c>
    </row>
    <row r="21" spans="1:3" x14ac:dyDescent="0.25">
      <c r="A21">
        <v>434.34343434343401</v>
      </c>
      <c r="B21">
        <v>8.8267829632690503E-2</v>
      </c>
      <c r="C21">
        <v>2.1066206857060199E-4</v>
      </c>
    </row>
    <row r="22" spans="1:3" x14ac:dyDescent="0.25">
      <c r="A22">
        <v>441.414141414141</v>
      </c>
      <c r="B22">
        <v>9.0798403016325899E-2</v>
      </c>
      <c r="C22">
        <v>2.3013395418431599E-4</v>
      </c>
    </row>
    <row r="23" spans="1:3" x14ac:dyDescent="0.25">
      <c r="A23">
        <v>448.48484848484901</v>
      </c>
      <c r="B23">
        <v>9.3279346721264395E-2</v>
      </c>
      <c r="C23">
        <v>2.5231409121775602E-4</v>
      </c>
    </row>
    <row r="24" spans="1:3" x14ac:dyDescent="0.25">
      <c r="A24">
        <v>455.555555555556</v>
      </c>
      <c r="B24">
        <v>9.5709661244423094E-2</v>
      </c>
      <c r="C24">
        <v>2.77908008107194E-4</v>
      </c>
    </row>
    <row r="25" spans="1:3" x14ac:dyDescent="0.25">
      <c r="A25">
        <v>462.62626262626299</v>
      </c>
      <c r="B25">
        <v>9.8091303372622493E-2</v>
      </c>
      <c r="C25">
        <v>3.0834394705368101E-4</v>
      </c>
    </row>
    <row r="26" spans="1:3" x14ac:dyDescent="0.25">
      <c r="A26">
        <v>469.69696969696997</v>
      </c>
      <c r="B26">
        <v>0.10042803657629699</v>
      </c>
      <c r="C26">
        <v>3.46132319187942E-4</v>
      </c>
    </row>
    <row r="27" spans="1:3" x14ac:dyDescent="0.25">
      <c r="A27">
        <v>476.76767676767702</v>
      </c>
      <c r="B27">
        <v>0.102724551546214</v>
      </c>
      <c r="C27">
        <v>3.9536150851700303E-4</v>
      </c>
    </row>
    <row r="28" spans="1:3" x14ac:dyDescent="0.25">
      <c r="A28">
        <v>483.838383838384</v>
      </c>
      <c r="B28">
        <v>0.10498584623514499</v>
      </c>
      <c r="C28">
        <v>4.6234124255336803E-4</v>
      </c>
    </row>
    <row r="29" spans="1:3" x14ac:dyDescent="0.25">
      <c r="A29">
        <v>490.90909090909099</v>
      </c>
      <c r="B29">
        <v>0.107216822277201</v>
      </c>
      <c r="C29">
        <v>5.5636178666492603E-4</v>
      </c>
    </row>
    <row r="30" spans="1:3" x14ac:dyDescent="0.25">
      <c r="A30">
        <v>497.97979797979798</v>
      </c>
      <c r="B30">
        <v>0.109422045965204</v>
      </c>
      <c r="C30">
        <v>6.9044702894312704E-4</v>
      </c>
    </row>
    <row r="31" spans="1:3" x14ac:dyDescent="0.25">
      <c r="A31">
        <v>505.05050505050502</v>
      </c>
      <c r="B31">
        <v>0.1116056258878</v>
      </c>
      <c r="C31">
        <v>8.8182684102015396E-4</v>
      </c>
    </row>
    <row r="32" spans="1:3" x14ac:dyDescent="0.25">
      <c r="A32">
        <v>512.12121212121201</v>
      </c>
      <c r="B32">
        <v>0.11377116829334601</v>
      </c>
      <c r="C32">
        <v>1.15165526268456E-3</v>
      </c>
    </row>
    <row r="33" spans="1:3" x14ac:dyDescent="0.25">
      <c r="A33">
        <v>519.19191919191906</v>
      </c>
      <c r="B33">
        <v>0.115921780998421</v>
      </c>
      <c r="C33">
        <v>1.5233536306937701E-3</v>
      </c>
    </row>
    <row r="34" spans="1:3" x14ac:dyDescent="0.25">
      <c r="A34">
        <v>526.26262626262599</v>
      </c>
      <c r="B34">
        <v>0.118060105230305</v>
      </c>
      <c r="C34">
        <v>2.01908004772486E-3</v>
      </c>
    </row>
    <row r="35" spans="1:3" x14ac:dyDescent="0.25">
      <c r="A35">
        <v>533.33333333333303</v>
      </c>
      <c r="B35">
        <v>0.12018836155356399</v>
      </c>
      <c r="C35">
        <v>2.65448279901417E-3</v>
      </c>
    </row>
    <row r="36" spans="1:3" x14ac:dyDescent="0.25">
      <c r="A36">
        <v>540.40404040403996</v>
      </c>
      <c r="B36">
        <v>0.122308401010877</v>
      </c>
      <c r="C36">
        <v>3.4330892645592602E-3</v>
      </c>
    </row>
    <row r="37" spans="1:3" x14ac:dyDescent="0.25">
      <c r="A37">
        <v>547.47474747474803</v>
      </c>
      <c r="B37">
        <v>0.124421756099608</v>
      </c>
      <c r="C37">
        <v>4.3427655100749E-3</v>
      </c>
    </row>
    <row r="38" spans="1:3" x14ac:dyDescent="0.25">
      <c r="A38">
        <v>554.54545454545496</v>
      </c>
      <c r="B38">
        <v>0.12652968855691701</v>
      </c>
      <c r="C38">
        <v>5.3565092725276504E-3</v>
      </c>
    </row>
    <row r="39" spans="1:3" x14ac:dyDescent="0.25">
      <c r="A39">
        <v>561.616161616162</v>
      </c>
      <c r="B39">
        <v>0.12863323245215699</v>
      </c>
      <c r="C39">
        <v>6.4379007478232598E-3</v>
      </c>
    </row>
    <row r="40" spans="1:3" x14ac:dyDescent="0.25">
      <c r="A40">
        <v>568.68686868686905</v>
      </c>
      <c r="B40">
        <v>0.130733232037478</v>
      </c>
      <c r="C40">
        <v>7.5490035539568503E-3</v>
      </c>
    </row>
    <row r="41" spans="1:3" x14ac:dyDescent="0.25">
      <c r="A41">
        <v>575.75757575757598</v>
      </c>
      <c r="B41">
        <v>0.132830374373552</v>
      </c>
      <c r="C41">
        <v>8.6574002266370798E-3</v>
      </c>
    </row>
    <row r="42" spans="1:3" x14ac:dyDescent="0.25">
      <c r="A42">
        <v>582.82828282828302</v>
      </c>
      <c r="B42">
        <v>0.13492521706077501</v>
      </c>
      <c r="C42">
        <v>9.7400925269431407E-3</v>
      </c>
    </row>
    <row r="43" spans="1:3" x14ac:dyDescent="0.25">
      <c r="A43">
        <v>589.89898989898995</v>
      </c>
      <c r="B43">
        <v>0.137018211559463</v>
      </c>
      <c r="C43">
        <v>1.0784008440867601E-2</v>
      </c>
    </row>
    <row r="44" spans="1:3" x14ac:dyDescent="0.25">
      <c r="A44">
        <v>596.969696969697</v>
      </c>
      <c r="B44">
        <v>0.13910972263730401</v>
      </c>
      <c r="C44">
        <v>1.1784264289871499E-2</v>
      </c>
    </row>
    <row r="45" spans="1:3" x14ac:dyDescent="0.25">
      <c r="A45">
        <v>604.04040404040404</v>
      </c>
      <c r="B45">
        <v>0.14120004447930901</v>
      </c>
      <c r="C45">
        <v>1.27416043895107E-2</v>
      </c>
    </row>
    <row r="46" spans="1:3" x14ac:dyDescent="0.25">
      <c r="A46">
        <v>611.11111111111097</v>
      </c>
      <c r="B46">
        <v>0.143289413960943</v>
      </c>
      <c r="C46">
        <v>1.3660006059807901E-2</v>
      </c>
    </row>
    <row r="47" spans="1:3" x14ac:dyDescent="0.25">
      <c r="A47">
        <v>618.18181818181802</v>
      </c>
      <c r="B47">
        <v>0.145378021535188</v>
      </c>
      <c r="C47">
        <v>1.4544878841142601E-2</v>
      </c>
    </row>
    <row r="48" spans="1:3" x14ac:dyDescent="0.25">
      <c r="A48">
        <v>625.25252525252495</v>
      </c>
      <c r="B48">
        <v>0.14746602012916801</v>
      </c>
      <c r="C48">
        <v>1.5401904002265199E-2</v>
      </c>
    </row>
    <row r="49" spans="1:3" x14ac:dyDescent="0.25">
      <c r="A49">
        <v>632.32323232323199</v>
      </c>
      <c r="B49">
        <v>0.149553532391209</v>
      </c>
      <c r="C49">
        <v>1.6236387619100599E-2</v>
      </c>
    </row>
    <row r="50" spans="1:3" x14ac:dyDescent="0.25">
      <c r="A50">
        <v>639.39393939393904</v>
      </c>
      <c r="B50">
        <v>0.15164065657814599</v>
      </c>
      <c r="C50">
        <v>1.7052964233220998E-2</v>
      </c>
    </row>
    <row r="51" spans="1:3" x14ac:dyDescent="0.25">
      <c r="A51">
        <v>646.46464646464597</v>
      </c>
      <c r="B51">
        <v>0.15372747132671399</v>
      </c>
      <c r="C51">
        <v>1.7855512979603801E-2</v>
      </c>
    </row>
    <row r="52" spans="1:3" x14ac:dyDescent="0.25">
      <c r="A52">
        <v>653.53535353535403</v>
      </c>
      <c r="B52">
        <v>0.15581403951252101</v>
      </c>
      <c r="C52">
        <v>1.86471884206801E-2</v>
      </c>
    </row>
    <row r="53" spans="1:3" x14ac:dyDescent="0.25">
      <c r="A53">
        <v>660.60606060606096</v>
      </c>
      <c r="B53">
        <v>0.15790041136534599</v>
      </c>
      <c r="C53">
        <v>1.9430504240478399E-2</v>
      </c>
    </row>
    <row r="54" spans="1:3" x14ac:dyDescent="0.25">
      <c r="A54">
        <v>667.67676767676801</v>
      </c>
      <c r="B54">
        <v>0.159986626979953</v>
      </c>
      <c r="C54">
        <v>2.0207434030469901E-2</v>
      </c>
    </row>
    <row r="55" spans="1:3" x14ac:dyDescent="0.25">
      <c r="A55">
        <v>674.74747474747505</v>
      </c>
      <c r="B55">
        <v>0.162072718336709</v>
      </c>
      <c r="C55">
        <v>2.0979510320368499E-2</v>
      </c>
    </row>
    <row r="56" spans="1:3" x14ac:dyDescent="0.25">
      <c r="A56">
        <v>681.81818181818198</v>
      </c>
      <c r="B56">
        <v>0.164158710925529</v>
      </c>
      <c r="C56">
        <v>2.1747913157052899E-2</v>
      </c>
    </row>
    <row r="57" spans="1:3" x14ac:dyDescent="0.25">
      <c r="A57">
        <v>688.88888888888903</v>
      </c>
      <c r="B57">
        <v>0.16624462504941201</v>
      </c>
      <c r="C57">
        <v>2.2513545219668401E-2</v>
      </c>
    </row>
    <row r="58" spans="1:3" x14ac:dyDescent="0.25">
      <c r="A58">
        <v>695.95959595959596</v>
      </c>
      <c r="B58">
        <v>0.16833047686960501</v>
      </c>
      <c r="C58">
        <v>2.3277093407764501E-2</v>
      </c>
    </row>
    <row r="59" spans="1:3" x14ac:dyDescent="0.25">
      <c r="A59">
        <v>703.030303030303</v>
      </c>
      <c r="B59">
        <v>0.17041627924273201</v>
      </c>
      <c r="C59">
        <v>2.4039078203680501E-2</v>
      </c>
    </row>
    <row r="60" spans="1:3" x14ac:dyDescent="0.25">
      <c r="A60">
        <v>710.10101010101005</v>
      </c>
      <c r="B60">
        <v>0.17250204239065201</v>
      </c>
      <c r="C60">
        <v>2.4799892605293299E-2</v>
      </c>
    </row>
    <row r="61" spans="1:3" x14ac:dyDescent="0.25">
      <c r="A61">
        <v>717.17171717171698</v>
      </c>
      <c r="B61">
        <v>0.17458777443597001</v>
      </c>
      <c r="C61">
        <v>2.55598324729924E-2</v>
      </c>
    </row>
    <row r="62" spans="1:3" x14ac:dyDescent="0.25">
      <c r="A62">
        <v>724.24242424242402</v>
      </c>
      <c r="B62">
        <v>0.17667348182980899</v>
      </c>
      <c r="C62">
        <v>2.63191199744858E-2</v>
      </c>
    </row>
    <row r="63" spans="1:3" x14ac:dyDescent="0.25">
      <c r="A63">
        <v>731.31313131313095</v>
      </c>
      <c r="B63">
        <v>0.178759169693226</v>
      </c>
      <c r="C63">
        <v>2.7077921572450699E-2</v>
      </c>
    </row>
    <row r="64" spans="1:3" x14ac:dyDescent="0.25">
      <c r="A64">
        <v>738.383838383838</v>
      </c>
      <c r="B64">
        <v>0.18084484208950799</v>
      </c>
      <c r="C64">
        <v>2.7836361749577401E-2</v>
      </c>
    </row>
    <row r="65" spans="1:3" x14ac:dyDescent="0.25">
      <c r="A65">
        <v>745.45454545454595</v>
      </c>
      <c r="B65">
        <v>0.182930502241202</v>
      </c>
      <c r="C65">
        <v>2.8594533434420099E-2</v>
      </c>
    </row>
    <row r="66" spans="1:3" x14ac:dyDescent="0.25">
      <c r="A66">
        <v>752.52525252525299</v>
      </c>
      <c r="B66">
        <v>0.18501615270295799</v>
      </c>
      <c r="C66">
        <v>2.9352505891789601E-2</v>
      </c>
    </row>
    <row r="67" spans="1:3" x14ac:dyDescent="0.25">
      <c r="A67">
        <v>759.59595959596004</v>
      </c>
      <c r="B67">
        <v>0.18710179549911399</v>
      </c>
      <c r="C67">
        <v>3.0110330675605201E-2</v>
      </c>
    </row>
    <row r="68" spans="1:3" x14ac:dyDescent="0.25">
      <c r="A68">
        <v>766.66666666666697</v>
      </c>
      <c r="B68">
        <v>0.18918743223314199</v>
      </c>
      <c r="C68">
        <v>3.0868046107913199E-2</v>
      </c>
    </row>
    <row r="69" spans="1:3" x14ac:dyDescent="0.25">
      <c r="A69">
        <v>773.73737373737401</v>
      </c>
      <c r="B69">
        <v>0.191273064174656</v>
      </c>
      <c r="C69">
        <v>3.16256806410758E-2</v>
      </c>
    </row>
    <row r="70" spans="1:3" x14ac:dyDescent="0.25">
      <c r="A70">
        <v>780.80808080808094</v>
      </c>
      <c r="B70">
        <v>0.19335869232855801</v>
      </c>
      <c r="C70">
        <v>3.2383255376390099E-2</v>
      </c>
    </row>
    <row r="71" spans="1:3" x14ac:dyDescent="0.25">
      <c r="A71">
        <v>787.87878787878799</v>
      </c>
      <c r="B71">
        <v>0.19544431748994201</v>
      </c>
      <c r="C71">
        <v>3.3140785947303998E-2</v>
      </c>
    </row>
    <row r="72" spans="1:3" x14ac:dyDescent="0.25">
      <c r="A72">
        <v>794.94949494949503</v>
      </c>
      <c r="B72">
        <v>0.197529940287687</v>
      </c>
      <c r="C72">
        <v>3.3898283925189003E-2</v>
      </c>
    </row>
    <row r="73" spans="1:3" x14ac:dyDescent="0.25">
      <c r="A73">
        <v>802.02020202020196</v>
      </c>
      <c r="B73">
        <v>0.19961556121903901</v>
      </c>
      <c r="C73">
        <v>3.4655757867126401E-2</v>
      </c>
    </row>
    <row r="74" spans="1:3" x14ac:dyDescent="0.25">
      <c r="A74">
        <v>809.09090909090901</v>
      </c>
      <c r="B74">
        <v>0.20170118067703999</v>
      </c>
      <c r="C74">
        <v>3.5413214095790797E-2</v>
      </c>
    </row>
    <row r="75" spans="1:3" x14ac:dyDescent="0.25">
      <c r="A75">
        <v>816.16161616161605</v>
      </c>
      <c r="B75">
        <v>0.20378679897226701</v>
      </c>
      <c r="C75">
        <v>3.6170657279190603E-2</v>
      </c>
    </row>
    <row r="76" spans="1:3" x14ac:dyDescent="0.25">
      <c r="A76">
        <v>823.23232323232298</v>
      </c>
      <c r="B76">
        <v>0.20587241635006301</v>
      </c>
      <c r="C76">
        <v>3.6928090861121102E-2</v>
      </c>
    </row>
    <row r="77" spans="1:3" x14ac:dyDescent="0.25">
      <c r="A77">
        <v>830.30303030303003</v>
      </c>
      <c r="B77">
        <v>0.207958033004185</v>
      </c>
      <c r="C77">
        <v>3.7685517380423098E-2</v>
      </c>
    </row>
    <row r="78" spans="1:3" x14ac:dyDescent="0.25">
      <c r="A78">
        <v>837.37373737373696</v>
      </c>
      <c r="B78">
        <v>0.21004364908760401</v>
      </c>
      <c r="C78">
        <v>3.8442938707529899E-2</v>
      </c>
    </row>
    <row r="79" spans="1:3" x14ac:dyDescent="0.25">
      <c r="A79">
        <v>844.44444444444503</v>
      </c>
      <c r="B79">
        <v>0.212129264721063</v>
      </c>
      <c r="C79">
        <v>3.9200356219563103E-2</v>
      </c>
    </row>
    <row r="80" spans="1:3" x14ac:dyDescent="0.25">
      <c r="A80">
        <v>851.51515151515196</v>
      </c>
      <c r="B80">
        <v>0.21421487999983699</v>
      </c>
      <c r="C80">
        <v>3.9957770929825803E-2</v>
      </c>
    </row>
    <row r="81" spans="1:3" x14ac:dyDescent="0.25">
      <c r="A81">
        <v>858.585858585859</v>
      </c>
      <c r="B81">
        <v>0.21630049499909099</v>
      </c>
      <c r="C81">
        <v>4.0715183583489203E-2</v>
      </c>
    </row>
    <row r="82" spans="1:3" x14ac:dyDescent="0.25">
      <c r="A82">
        <v>865.65656565656604</v>
      </c>
      <c r="B82">
        <v>0.21838610977810699</v>
      </c>
      <c r="C82">
        <v>4.1472594728242301E-2</v>
      </c>
    </row>
    <row r="83" spans="1:3" x14ac:dyDescent="0.25">
      <c r="A83">
        <v>872.72727272727298</v>
      </c>
      <c r="B83">
        <v>0.22047172438363</v>
      </c>
      <c r="C83">
        <v>4.2230004766416501E-2</v>
      </c>
    </row>
    <row r="84" spans="1:3" x14ac:dyDescent="0.25">
      <c r="A84">
        <v>879.79797979798002</v>
      </c>
      <c r="B84">
        <v>0.22255733885251</v>
      </c>
      <c r="C84">
        <v>4.2987413993416101E-2</v>
      </c>
    </row>
    <row r="85" spans="1:3" x14ac:dyDescent="0.25">
      <c r="A85">
        <v>886.86868686868695</v>
      </c>
      <c r="B85">
        <v>0.22464295321379299</v>
      </c>
      <c r="C85">
        <v>4.3744822626031597E-2</v>
      </c>
    </row>
    <row r="86" spans="1:3" x14ac:dyDescent="0.25">
      <c r="A86">
        <v>893.93939393939399</v>
      </c>
      <c r="B86">
        <v>0.22672856749036499</v>
      </c>
      <c r="C86">
        <v>4.4502230823288101E-2</v>
      </c>
    </row>
    <row r="87" spans="1:3" x14ac:dyDescent="0.25">
      <c r="A87">
        <v>901.01010101010104</v>
      </c>
      <c r="B87">
        <v>0.228814181700257</v>
      </c>
      <c r="C87">
        <v>4.52596387017856E-2</v>
      </c>
    </row>
    <row r="88" spans="1:3" x14ac:dyDescent="0.25">
      <c r="A88">
        <v>908.08080808080797</v>
      </c>
      <c r="B88">
        <v>0.23089979585767201</v>
      </c>
      <c r="C88">
        <v>4.6017046346981401E-2</v>
      </c>
    </row>
    <row r="89" spans="1:3" x14ac:dyDescent="0.25">
      <c r="A89">
        <v>915.15151515151501</v>
      </c>
      <c r="B89">
        <v>0.23298540997379499</v>
      </c>
      <c r="C89">
        <v>4.6774453821482598E-2</v>
      </c>
    </row>
    <row r="90" spans="1:3" x14ac:dyDescent="0.25">
      <c r="A90">
        <v>922.22222222222194</v>
      </c>
      <c r="B90">
        <v>0.23507102405743199</v>
      </c>
      <c r="C90">
        <v>4.7531861171138098E-2</v>
      </c>
    </row>
    <row r="91" spans="1:3" x14ac:dyDescent="0.25">
      <c r="A91">
        <v>929.29292929292899</v>
      </c>
      <c r="B91">
        <v>0.23715663811551499</v>
      </c>
      <c r="C91">
        <v>4.8289268429511402E-2</v>
      </c>
    </row>
    <row r="92" spans="1:3" x14ac:dyDescent="0.25">
      <c r="A92">
        <v>936.36363636363603</v>
      </c>
      <c r="B92">
        <v>0.23924225215350101</v>
      </c>
      <c r="C92">
        <v>4.9046675621164201E-2</v>
      </c>
    </row>
    <row r="93" spans="1:3" x14ac:dyDescent="0.25">
      <c r="A93">
        <v>943.43434343434296</v>
      </c>
      <c r="B93">
        <v>0.241327866175683</v>
      </c>
      <c r="C93">
        <v>4.9804082764064103E-2</v>
      </c>
    </row>
    <row r="94" spans="1:3" x14ac:dyDescent="0.25">
      <c r="A94">
        <v>950.50505050505103</v>
      </c>
      <c r="B94">
        <v>0.24341348018544101</v>
      </c>
      <c r="C94">
        <v>5.05614898713505E-2</v>
      </c>
    </row>
    <row r="95" spans="1:3" x14ac:dyDescent="0.25">
      <c r="A95">
        <v>957.57575757575796</v>
      </c>
      <c r="B95">
        <v>0.24549909418543001</v>
      </c>
      <c r="C95">
        <v>5.1318896952629298E-2</v>
      </c>
    </row>
    <row r="96" spans="1:3" x14ac:dyDescent="0.25">
      <c r="A96">
        <v>964.64646464646501</v>
      </c>
      <c r="B96">
        <v>0.247584708177743</v>
      </c>
      <c r="C96">
        <v>5.2076304014920402E-2</v>
      </c>
    </row>
    <row r="97" spans="1:3" x14ac:dyDescent="0.25">
      <c r="A97">
        <v>971.71717171717205</v>
      </c>
      <c r="B97">
        <v>0.24967032216402199</v>
      </c>
      <c r="C97">
        <v>5.2833711063352801E-2</v>
      </c>
    </row>
    <row r="98" spans="1:3" x14ac:dyDescent="0.25">
      <c r="A98">
        <v>978.78787878787898</v>
      </c>
      <c r="B98">
        <v>0.25175593614556102</v>
      </c>
      <c r="C98">
        <v>5.3591118101672601E-2</v>
      </c>
    </row>
    <row r="99" spans="1:3" x14ac:dyDescent="0.25">
      <c r="A99">
        <v>985.85858585858603</v>
      </c>
      <c r="B99">
        <v>0.253841550123375</v>
      </c>
      <c r="C99">
        <v>5.4348525132615101E-2</v>
      </c>
    </row>
    <row r="100" spans="1:3" x14ac:dyDescent="0.25">
      <c r="A100">
        <v>992.92929292929296</v>
      </c>
      <c r="B100">
        <v>0.25592716409826199</v>
      </c>
      <c r="C100">
        <v>5.51059321581771E-2</v>
      </c>
    </row>
    <row r="101" spans="1:3" x14ac:dyDescent="0.25">
      <c r="A101">
        <v>1000</v>
      </c>
      <c r="B101">
        <v>0.25801277807085199</v>
      </c>
      <c r="C101">
        <v>5.5863339179815903E-2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workbookViewId="0">
      <selection activeCell="B1" sqref="A1:B1048576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>
        <v>300.33981531037801</v>
      </c>
      <c r="B2">
        <v>6.2536585365853201E-5</v>
      </c>
    </row>
    <row r="3" spans="1:2" x14ac:dyDescent="0.25">
      <c r="A3">
        <v>314.088742768305</v>
      </c>
      <c r="B3">
        <v>6.1268292682926611E-5</v>
      </c>
    </row>
    <row r="4" spans="1:2" x14ac:dyDescent="0.25">
      <c r="A4">
        <v>333.45821545989702</v>
      </c>
      <c r="B4">
        <v>5.9365853658536578E-5</v>
      </c>
    </row>
    <row r="5" spans="1:2" x14ac:dyDescent="0.25">
      <c r="A5">
        <v>353.45634647569</v>
      </c>
      <c r="B5">
        <v>5.7512195121951183E-5</v>
      </c>
    </row>
    <row r="6" spans="1:2" x14ac:dyDescent="0.25">
      <c r="A6">
        <v>373.45107933837897</v>
      </c>
      <c r="B6">
        <v>5.5560975609756065E-5</v>
      </c>
    </row>
    <row r="7" spans="1:2" x14ac:dyDescent="0.25">
      <c r="A7">
        <v>393.45090943072398</v>
      </c>
      <c r="B7">
        <v>5.3756097560975579E-5</v>
      </c>
    </row>
    <row r="8" spans="1:2" x14ac:dyDescent="0.25">
      <c r="A8">
        <v>413.455836752724</v>
      </c>
      <c r="B8">
        <v>5.2097560975609741E-5</v>
      </c>
    </row>
    <row r="9" spans="1:2" x14ac:dyDescent="0.25">
      <c r="A9">
        <v>433.45736592162098</v>
      </c>
      <c r="B9">
        <v>5.0341463414634118E-5</v>
      </c>
    </row>
    <row r="10" spans="1:2" x14ac:dyDescent="0.25">
      <c r="A10">
        <v>453.46569139672499</v>
      </c>
      <c r="B10">
        <v>4.8780487804878004E-5</v>
      </c>
    </row>
    <row r="11" spans="1:2" x14ac:dyDescent="0.25">
      <c r="A11">
        <v>473.47911410148498</v>
      </c>
      <c r="B11">
        <v>4.7365853658536585E-5</v>
      </c>
    </row>
    <row r="12" spans="1:2" x14ac:dyDescent="0.25">
      <c r="A12">
        <v>493.490837729693</v>
      </c>
      <c r="B12">
        <v>4.5902439024390242E-5</v>
      </c>
    </row>
    <row r="13" spans="1:2" x14ac:dyDescent="0.25">
      <c r="A13">
        <v>513.50765858755699</v>
      </c>
      <c r="B13">
        <v>4.458536585365854E-5</v>
      </c>
    </row>
    <row r="14" spans="1:2" x14ac:dyDescent="0.25">
      <c r="A14">
        <v>533.52787759852504</v>
      </c>
      <c r="B14">
        <v>4.3365853658536562E-5</v>
      </c>
    </row>
    <row r="15" spans="1:2" x14ac:dyDescent="0.25">
      <c r="A15">
        <v>553.54809660949195</v>
      </c>
      <c r="B15">
        <v>4.2146341463414584E-5</v>
      </c>
    </row>
    <row r="16" spans="1:2" x14ac:dyDescent="0.25">
      <c r="A16">
        <v>572.94475452591496</v>
      </c>
      <c r="B16">
        <v>4.1024390243902377E-5</v>
      </c>
    </row>
    <row r="17" spans="1:2" x14ac:dyDescent="0.25">
      <c r="A17">
        <v>592.97516799619405</v>
      </c>
      <c r="B17">
        <v>4.0097560975609741E-5</v>
      </c>
    </row>
    <row r="18" spans="1:2" x14ac:dyDescent="0.25">
      <c r="A18">
        <v>613.63254071412098</v>
      </c>
      <c r="B18">
        <v>3.9170731707317044E-5</v>
      </c>
    </row>
    <row r="19" spans="1:2" x14ac:dyDescent="0.25">
      <c r="A19">
        <v>633.03599493675097</v>
      </c>
      <c r="B19">
        <v>3.8243902439024346E-5</v>
      </c>
    </row>
    <row r="20" spans="1:2" x14ac:dyDescent="0.25">
      <c r="A20">
        <v>653.69676580778298</v>
      </c>
      <c r="B20">
        <v>3.741463414634142E-5</v>
      </c>
    </row>
    <row r="21" spans="1:2" x14ac:dyDescent="0.25">
      <c r="A21">
        <v>673.105317260069</v>
      </c>
      <c r="B21">
        <v>3.6634146341463418E-5</v>
      </c>
    </row>
    <row r="22" spans="1:2" x14ac:dyDescent="0.25">
      <c r="A22">
        <v>693.77118536075602</v>
      </c>
      <c r="B22">
        <v>3.5951219512195085E-5</v>
      </c>
    </row>
    <row r="23" spans="1:2" x14ac:dyDescent="0.25">
      <c r="A23">
        <v>713.18483404269705</v>
      </c>
      <c r="B23">
        <v>3.5317073170731661E-5</v>
      </c>
    </row>
    <row r="24" spans="1:2" x14ac:dyDescent="0.25">
      <c r="A24">
        <v>733.22544197228797</v>
      </c>
      <c r="B24">
        <v>3.4682926829268238E-5</v>
      </c>
    </row>
    <row r="25" spans="1:2" x14ac:dyDescent="0.25">
      <c r="A25">
        <v>753.26774897842995</v>
      </c>
      <c r="B25">
        <v>3.4097560975609737E-5</v>
      </c>
    </row>
    <row r="26" spans="1:2" x14ac:dyDescent="0.25">
      <c r="A26">
        <v>772.68819396657898</v>
      </c>
      <c r="B26">
        <v>3.3658536585365823E-5</v>
      </c>
    </row>
    <row r="27" spans="1:2" x14ac:dyDescent="0.25">
      <c r="A27">
        <v>783.33800579385104</v>
      </c>
      <c r="B27">
        <v>3.3414634146341459E-5</v>
      </c>
    </row>
    <row r="28" spans="1:2" x14ac:dyDescent="0.25">
      <c r="A28">
        <v>793.99121577422602</v>
      </c>
      <c r="B28">
        <v>3.3268292682926818E-5</v>
      </c>
    </row>
    <row r="29" spans="1:2" x14ac:dyDescent="0.25">
      <c r="A29">
        <v>803.39050725930394</v>
      </c>
      <c r="B29">
        <v>3.3121951219512178E-5</v>
      </c>
    </row>
    <row r="30" spans="1:2" x14ac:dyDescent="0.25">
      <c r="A30">
        <v>813.41845706858305</v>
      </c>
      <c r="B30">
        <v>3.30243902439024E-5</v>
      </c>
    </row>
    <row r="31" spans="1:2" x14ac:dyDescent="0.25">
      <c r="A31">
        <v>823.454902260621</v>
      </c>
      <c r="B31">
        <v>3.317073170731704E-5</v>
      </c>
    </row>
    <row r="32" spans="1:2" x14ac:dyDescent="0.25">
      <c r="A32">
        <v>834.10981131754897</v>
      </c>
      <c r="B32">
        <v>3.3073170731707262E-5</v>
      </c>
    </row>
    <row r="33" spans="1:2" x14ac:dyDescent="0.25">
      <c r="A33">
        <v>842.88044447842503</v>
      </c>
      <c r="B33">
        <v>3.2878048780487759E-5</v>
      </c>
    </row>
    <row r="34" spans="1:2" x14ac:dyDescent="0.25">
      <c r="A34">
        <v>853.53195538224895</v>
      </c>
      <c r="B34">
        <v>3.2682926829268264E-5</v>
      </c>
    </row>
    <row r="35" spans="1:2" x14ac:dyDescent="0.25">
      <c r="A35">
        <v>873.58275777115102</v>
      </c>
      <c r="B35">
        <v>3.2341463414634121E-5</v>
      </c>
    </row>
    <row r="36" spans="1:2" x14ac:dyDescent="0.25">
      <c r="A36">
        <v>893.63356016005298</v>
      </c>
      <c r="B36">
        <v>3.1999999999999985E-5</v>
      </c>
    </row>
    <row r="37" spans="1:2" x14ac:dyDescent="0.25">
      <c r="A37">
        <v>913.05570422475296</v>
      </c>
      <c r="B37">
        <v>3.1609756097560919E-5</v>
      </c>
    </row>
    <row r="38" spans="1:2" x14ac:dyDescent="0.25">
      <c r="A38">
        <v>933.101409383999</v>
      </c>
      <c r="B38">
        <v>3.1121951219512143E-5</v>
      </c>
    </row>
    <row r="39" spans="1:2" x14ac:dyDescent="0.25">
      <c r="A39">
        <v>953.15391084945304</v>
      </c>
      <c r="B39">
        <v>3.0829268292682916E-5</v>
      </c>
    </row>
    <row r="40" spans="1:2" x14ac:dyDescent="0.25">
      <c r="A40">
        <v>973.20301416180303</v>
      </c>
      <c r="B40">
        <v>3.0439024390243861E-5</v>
      </c>
    </row>
    <row r="41" spans="1:2" x14ac:dyDescent="0.25">
      <c r="A41">
        <v>993.25211747415199</v>
      </c>
      <c r="B41">
        <v>3.0048780487804859E-5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workbookViewId="0">
      <selection activeCell="F8" sqref="F8"/>
    </sheetView>
  </sheetViews>
  <sheetFormatPr defaultRowHeight="15" x14ac:dyDescent="0.25"/>
  <sheetData>
    <row r="1" spans="1:6" x14ac:dyDescent="0.25">
      <c r="A1" t="s">
        <v>0</v>
      </c>
      <c r="B1" t="s">
        <v>9</v>
      </c>
      <c r="C1" t="s">
        <v>6</v>
      </c>
    </row>
    <row r="2" spans="1:6" x14ac:dyDescent="0.25">
      <c r="A2">
        <v>300.33981531037801</v>
      </c>
      <c r="B2">
        <v>10.422764227642199</v>
      </c>
      <c r="C2" s="1">
        <f>B2*$F$7</f>
        <v>3.12682926829266E-5</v>
      </c>
    </row>
    <row r="3" spans="1:6" x14ac:dyDescent="0.25">
      <c r="A3">
        <v>314.088742768305</v>
      </c>
      <c r="B3">
        <v>10.211382113821101</v>
      </c>
      <c r="C3" s="1">
        <f t="shared" ref="C3:C41" si="0">B3*$F$7</f>
        <v>3.0634146341463306E-5</v>
      </c>
      <c r="E3" t="s">
        <v>2</v>
      </c>
      <c r="F3" s="1">
        <v>1.4999999999999999E-4</v>
      </c>
    </row>
    <row r="4" spans="1:6" x14ac:dyDescent="0.25">
      <c r="A4">
        <v>333.45821545989702</v>
      </c>
      <c r="B4">
        <v>9.8943089430894293</v>
      </c>
      <c r="C4" s="1">
        <f t="shared" si="0"/>
        <v>2.9682926829268289E-5</v>
      </c>
      <c r="E4" t="s">
        <v>3</v>
      </c>
      <c r="F4" s="1">
        <v>1.0000000000000001E-5</v>
      </c>
    </row>
    <row r="5" spans="1:6" x14ac:dyDescent="0.25">
      <c r="A5">
        <v>353.45634647569</v>
      </c>
      <c r="B5">
        <v>9.58536585365853</v>
      </c>
      <c r="C5" s="1">
        <f t="shared" si="0"/>
        <v>2.8756097560975592E-5</v>
      </c>
      <c r="E5" t="s">
        <v>4</v>
      </c>
      <c r="F5" s="1">
        <v>5.0000000000000001E-4</v>
      </c>
    </row>
    <row r="6" spans="1:6" x14ac:dyDescent="0.25">
      <c r="A6">
        <v>373.45107933837897</v>
      </c>
      <c r="B6">
        <v>9.2601626016260106</v>
      </c>
      <c r="C6" s="1">
        <f t="shared" si="0"/>
        <v>2.7780487804878032E-5</v>
      </c>
    </row>
    <row r="7" spans="1:6" x14ac:dyDescent="0.25">
      <c r="A7">
        <v>393.45090943072398</v>
      </c>
      <c r="B7">
        <v>8.9593495934959293</v>
      </c>
      <c r="C7" s="1">
        <f t="shared" si="0"/>
        <v>2.687804878048779E-5</v>
      </c>
      <c r="E7" t="s">
        <v>5</v>
      </c>
      <c r="F7" s="1">
        <f>F4*F3/(F5)</f>
        <v>3.0000000000000001E-6</v>
      </c>
    </row>
    <row r="8" spans="1:6" x14ac:dyDescent="0.25">
      <c r="A8">
        <v>413.455836752724</v>
      </c>
      <c r="B8">
        <v>8.6829268292682897</v>
      </c>
      <c r="C8" s="1">
        <f t="shared" si="0"/>
        <v>2.6048780487804871E-5</v>
      </c>
    </row>
    <row r="9" spans="1:6" x14ac:dyDescent="0.25">
      <c r="A9">
        <v>433.45736592162098</v>
      </c>
      <c r="B9">
        <v>8.3902439024390194</v>
      </c>
      <c r="C9" s="1">
        <f t="shared" si="0"/>
        <v>2.5170731707317059E-5</v>
      </c>
      <c r="E9" t="s">
        <v>10</v>
      </c>
    </row>
    <row r="10" spans="1:6" x14ac:dyDescent="0.25">
      <c r="A10">
        <v>453.46569139672499</v>
      </c>
      <c r="B10">
        <v>8.130081300813</v>
      </c>
      <c r="C10" s="1">
        <f t="shared" si="0"/>
        <v>2.4390243902439002E-5</v>
      </c>
    </row>
    <row r="11" spans="1:6" x14ac:dyDescent="0.25">
      <c r="A11">
        <v>473.47911410148498</v>
      </c>
      <c r="B11">
        <v>7.8943089430894302</v>
      </c>
      <c r="C11" s="1">
        <f t="shared" si="0"/>
        <v>2.3682926829268292E-5</v>
      </c>
    </row>
    <row r="12" spans="1:6" x14ac:dyDescent="0.25">
      <c r="A12">
        <v>493.490837729693</v>
      </c>
      <c r="B12">
        <v>7.6504065040650397</v>
      </c>
      <c r="C12" s="1">
        <f t="shared" si="0"/>
        <v>2.2951219512195121E-5</v>
      </c>
    </row>
    <row r="13" spans="1:6" x14ac:dyDescent="0.25">
      <c r="A13">
        <v>513.50765858755699</v>
      </c>
      <c r="B13">
        <v>7.4308943089430901</v>
      </c>
      <c r="C13" s="1">
        <f t="shared" si="0"/>
        <v>2.229268292682927E-5</v>
      </c>
    </row>
    <row r="14" spans="1:6" x14ac:dyDescent="0.25">
      <c r="A14">
        <v>533.52787759852504</v>
      </c>
      <c r="B14">
        <v>7.2276422764227597</v>
      </c>
      <c r="C14" s="1">
        <f t="shared" si="0"/>
        <v>2.1682926829268281E-5</v>
      </c>
    </row>
    <row r="15" spans="1:6" x14ac:dyDescent="0.25">
      <c r="A15">
        <v>553.54809660949195</v>
      </c>
      <c r="B15">
        <v>7.0243902439024302</v>
      </c>
      <c r="C15" s="1">
        <f t="shared" si="0"/>
        <v>2.1073170731707292E-5</v>
      </c>
    </row>
    <row r="16" spans="1:6" x14ac:dyDescent="0.25">
      <c r="A16">
        <v>572.94475452591496</v>
      </c>
      <c r="B16">
        <v>6.8373983739837296</v>
      </c>
      <c r="C16" s="1">
        <f t="shared" si="0"/>
        <v>2.0512195121951189E-5</v>
      </c>
    </row>
    <row r="17" spans="1:3" x14ac:dyDescent="0.25">
      <c r="A17">
        <v>592.97516799619405</v>
      </c>
      <c r="B17">
        <v>6.6829268292682897</v>
      </c>
      <c r="C17" s="1">
        <f t="shared" si="0"/>
        <v>2.004878048780487E-5</v>
      </c>
    </row>
    <row r="18" spans="1:3" x14ac:dyDescent="0.25">
      <c r="A18">
        <v>613.63254071412098</v>
      </c>
      <c r="B18">
        <v>6.5284552845528401</v>
      </c>
      <c r="C18" s="1">
        <f t="shared" si="0"/>
        <v>1.9585365853658522E-5</v>
      </c>
    </row>
    <row r="19" spans="1:3" x14ac:dyDescent="0.25">
      <c r="A19">
        <v>633.03599493675097</v>
      </c>
      <c r="B19">
        <v>6.3739837398373904</v>
      </c>
      <c r="C19" s="1">
        <f t="shared" si="0"/>
        <v>1.9121951219512173E-5</v>
      </c>
    </row>
    <row r="20" spans="1:3" x14ac:dyDescent="0.25">
      <c r="A20">
        <v>653.69676580778298</v>
      </c>
      <c r="B20">
        <v>6.2357723577235697</v>
      </c>
      <c r="C20" s="1">
        <f t="shared" si="0"/>
        <v>1.870731707317071E-5</v>
      </c>
    </row>
    <row r="21" spans="1:3" x14ac:dyDescent="0.25">
      <c r="A21">
        <v>673.105317260069</v>
      </c>
      <c r="B21">
        <v>6.1056910569105698</v>
      </c>
      <c r="C21" s="1">
        <f t="shared" si="0"/>
        <v>1.8317073170731709E-5</v>
      </c>
    </row>
    <row r="22" spans="1:3" x14ac:dyDescent="0.25">
      <c r="A22">
        <v>693.77118536075602</v>
      </c>
      <c r="B22">
        <v>5.9918699186991802</v>
      </c>
      <c r="C22" s="1">
        <f t="shared" si="0"/>
        <v>1.7975609756097542E-5</v>
      </c>
    </row>
    <row r="23" spans="1:3" x14ac:dyDescent="0.25">
      <c r="A23">
        <v>713.18483404269705</v>
      </c>
      <c r="B23">
        <v>5.8861788617886104</v>
      </c>
      <c r="C23" s="1">
        <f t="shared" si="0"/>
        <v>1.7658536585365831E-5</v>
      </c>
    </row>
    <row r="24" spans="1:3" x14ac:dyDescent="0.25">
      <c r="A24">
        <v>733.22544197228797</v>
      </c>
      <c r="B24">
        <v>5.7804878048780397</v>
      </c>
      <c r="C24" s="1">
        <f t="shared" si="0"/>
        <v>1.7341463414634119E-5</v>
      </c>
    </row>
    <row r="25" spans="1:3" x14ac:dyDescent="0.25">
      <c r="A25">
        <v>753.26774897842995</v>
      </c>
      <c r="B25">
        <v>5.6829268292682897</v>
      </c>
      <c r="C25" s="1">
        <f t="shared" si="0"/>
        <v>1.7048780487804869E-5</v>
      </c>
    </row>
    <row r="26" spans="1:3" x14ac:dyDescent="0.25">
      <c r="A26">
        <v>772.68819396657898</v>
      </c>
      <c r="B26">
        <v>5.6097560975609699</v>
      </c>
      <c r="C26" s="1">
        <f t="shared" si="0"/>
        <v>1.6829268292682912E-5</v>
      </c>
    </row>
    <row r="27" spans="1:3" x14ac:dyDescent="0.25">
      <c r="A27">
        <v>783.33800579385104</v>
      </c>
      <c r="B27">
        <v>5.5691056910569099</v>
      </c>
      <c r="C27" s="1">
        <f t="shared" si="0"/>
        <v>1.6707317073170729E-5</v>
      </c>
    </row>
    <row r="28" spans="1:3" x14ac:dyDescent="0.25">
      <c r="A28">
        <v>793.99121577422602</v>
      </c>
      <c r="B28">
        <v>5.54471544715447</v>
      </c>
      <c r="C28" s="1">
        <f t="shared" si="0"/>
        <v>1.6634146341463409E-5</v>
      </c>
    </row>
    <row r="29" spans="1:3" x14ac:dyDescent="0.25">
      <c r="A29">
        <v>803.39050725930394</v>
      </c>
      <c r="B29">
        <v>5.52032520325203</v>
      </c>
      <c r="C29" s="1">
        <f t="shared" si="0"/>
        <v>1.6560975609756089E-5</v>
      </c>
    </row>
    <row r="30" spans="1:3" x14ac:dyDescent="0.25">
      <c r="A30">
        <v>813.41845706858305</v>
      </c>
      <c r="B30">
        <v>5.5040650406504001</v>
      </c>
      <c r="C30" s="1">
        <f t="shared" si="0"/>
        <v>1.65121951219512E-5</v>
      </c>
    </row>
    <row r="31" spans="1:3" x14ac:dyDescent="0.25">
      <c r="A31">
        <v>823.454902260621</v>
      </c>
      <c r="B31">
        <v>5.5284552845528401</v>
      </c>
      <c r="C31" s="1">
        <f t="shared" si="0"/>
        <v>1.658536585365852E-5</v>
      </c>
    </row>
    <row r="32" spans="1:3" x14ac:dyDescent="0.25">
      <c r="A32">
        <v>834.10981131754897</v>
      </c>
      <c r="B32">
        <v>5.5121951219512102</v>
      </c>
      <c r="C32" s="1">
        <f t="shared" si="0"/>
        <v>1.6536585365853631E-5</v>
      </c>
    </row>
    <row r="33" spans="1:3" x14ac:dyDescent="0.25">
      <c r="A33">
        <v>842.88044447842503</v>
      </c>
      <c r="B33">
        <v>5.4796747967479602</v>
      </c>
      <c r="C33" s="1">
        <f t="shared" si="0"/>
        <v>1.643902439024388E-5</v>
      </c>
    </row>
    <row r="34" spans="1:3" x14ac:dyDescent="0.25">
      <c r="A34">
        <v>853.53195538224895</v>
      </c>
      <c r="B34">
        <v>5.4471544715447102</v>
      </c>
      <c r="C34" s="1">
        <f t="shared" si="0"/>
        <v>1.6341463414634132E-5</v>
      </c>
    </row>
    <row r="35" spans="1:3" x14ac:dyDescent="0.25">
      <c r="A35">
        <v>873.58275777115102</v>
      </c>
      <c r="B35">
        <v>5.3902439024390203</v>
      </c>
      <c r="C35" s="1">
        <f t="shared" si="0"/>
        <v>1.617073170731706E-5</v>
      </c>
    </row>
    <row r="36" spans="1:3" x14ac:dyDescent="0.25">
      <c r="A36">
        <v>893.63356016005298</v>
      </c>
      <c r="B36">
        <v>5.3333333333333304</v>
      </c>
      <c r="C36" s="1">
        <f t="shared" si="0"/>
        <v>1.5999999999999992E-5</v>
      </c>
    </row>
    <row r="37" spans="1:3" x14ac:dyDescent="0.25">
      <c r="A37">
        <v>913.05570422475296</v>
      </c>
      <c r="B37">
        <v>5.2682926829268197</v>
      </c>
      <c r="C37" s="1">
        <f t="shared" si="0"/>
        <v>1.580487804878046E-5</v>
      </c>
    </row>
    <row r="38" spans="1:3" x14ac:dyDescent="0.25">
      <c r="A38">
        <v>933.101409383999</v>
      </c>
      <c r="B38">
        <v>5.1869918699186899</v>
      </c>
      <c r="C38" s="1">
        <f t="shared" si="0"/>
        <v>1.5560975609756071E-5</v>
      </c>
    </row>
    <row r="39" spans="1:3" x14ac:dyDescent="0.25">
      <c r="A39">
        <v>953.15391084945304</v>
      </c>
      <c r="B39">
        <v>5.1382113821138198</v>
      </c>
      <c r="C39" s="1">
        <f t="shared" si="0"/>
        <v>1.5414634146341458E-5</v>
      </c>
    </row>
    <row r="40" spans="1:3" x14ac:dyDescent="0.25">
      <c r="A40">
        <v>973.20301416180303</v>
      </c>
      <c r="B40">
        <v>5.07317073170731</v>
      </c>
      <c r="C40" s="1">
        <f t="shared" si="0"/>
        <v>1.521951219512193E-5</v>
      </c>
    </row>
    <row r="41" spans="1:3" x14ac:dyDescent="0.25">
      <c r="A41">
        <v>993.25211747415199</v>
      </c>
      <c r="B41">
        <v>5.0081300813008101</v>
      </c>
      <c r="C41" s="1">
        <f t="shared" si="0"/>
        <v>1.502439024390243E-5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1"/>
  <sheetViews>
    <sheetView workbookViewId="0">
      <selection activeCell="D8" sqref="D8"/>
    </sheetView>
  </sheetViews>
  <sheetFormatPr defaultRowHeight="15" x14ac:dyDescent="0.25"/>
  <sheetData>
    <row r="1" spans="1:3" x14ac:dyDescent="0.25">
      <c r="A1" t="s">
        <v>0</v>
      </c>
      <c r="B1" t="s">
        <v>6</v>
      </c>
    </row>
    <row r="2" spans="1:3" x14ac:dyDescent="0.25">
      <c r="A2">
        <v>300</v>
      </c>
      <c r="B2" s="1">
        <v>6.3202358904074004E-5</v>
      </c>
      <c r="C2" s="1"/>
    </row>
    <row r="3" spans="1:3" x14ac:dyDescent="0.25">
      <c r="A3">
        <v>307.07070707070699</v>
      </c>
      <c r="B3" s="1">
        <v>6.2523650617987394E-5</v>
      </c>
    </row>
    <row r="4" spans="1:3" x14ac:dyDescent="0.25">
      <c r="A4">
        <v>314.14141414141397</v>
      </c>
      <c r="B4" s="1">
        <v>6.18258032342785E-5</v>
      </c>
    </row>
    <row r="5" spans="1:3" x14ac:dyDescent="0.25">
      <c r="A5">
        <v>321.21212121212102</v>
      </c>
      <c r="B5" s="1">
        <v>6.1113828451659497E-5</v>
      </c>
    </row>
    <row r="6" spans="1:3" x14ac:dyDescent="0.25">
      <c r="A6">
        <v>328.28282828282801</v>
      </c>
      <c r="B6" s="1">
        <v>6.0392045878959601E-5</v>
      </c>
    </row>
    <row r="7" spans="1:3" x14ac:dyDescent="0.25">
      <c r="A7">
        <v>335.35353535353499</v>
      </c>
      <c r="B7" s="1">
        <v>5.96641847765005E-5</v>
      </c>
    </row>
    <row r="8" spans="1:3" x14ac:dyDescent="0.25">
      <c r="A8">
        <v>342.42424242424198</v>
      </c>
      <c r="B8" s="1">
        <v>5.8933469339110802E-5</v>
      </c>
    </row>
    <row r="9" spans="1:3" x14ac:dyDescent="0.25">
      <c r="A9">
        <v>349.49494949494999</v>
      </c>
      <c r="B9" s="1">
        <v>5.82026903234906E-5</v>
      </c>
    </row>
    <row r="10" spans="1:3" x14ac:dyDescent="0.25">
      <c r="A10">
        <v>356.56565656565698</v>
      </c>
      <c r="B10" s="1">
        <v>5.7474265304787198E-5</v>
      </c>
    </row>
    <row r="11" spans="1:3" x14ac:dyDescent="0.25">
      <c r="A11">
        <v>363.63636363636402</v>
      </c>
      <c r="B11" s="1">
        <v>5.6750289434151502E-5</v>
      </c>
    </row>
    <row r="12" spans="1:3" x14ac:dyDescent="0.25">
      <c r="A12">
        <v>370.70707070707101</v>
      </c>
      <c r="B12" s="1">
        <v>5.6032578238289399E-5</v>
      </c>
    </row>
    <row r="13" spans="1:3" x14ac:dyDescent="0.25">
      <c r="A13">
        <v>377.777777777778</v>
      </c>
      <c r="B13" s="1">
        <v>5.5322703736230399E-5</v>
      </c>
    </row>
    <row r="14" spans="1:3" x14ac:dyDescent="0.25">
      <c r="A14">
        <v>384.84848484848499</v>
      </c>
      <c r="B14" s="1">
        <v>5.4622024934192399E-5</v>
      </c>
    </row>
    <row r="15" spans="1:3" x14ac:dyDescent="0.25">
      <c r="A15">
        <v>391.91919191919197</v>
      </c>
      <c r="B15" s="1">
        <v>5.3931713585943599E-5</v>
      </c>
    </row>
    <row r="16" spans="1:3" x14ac:dyDescent="0.25">
      <c r="A16">
        <v>398.98989898989902</v>
      </c>
      <c r="B16" s="1">
        <v>5.3252775965103802E-5</v>
      </c>
    </row>
    <row r="17" spans="1:2" x14ac:dyDescent="0.25">
      <c r="A17">
        <v>406.06060606060601</v>
      </c>
      <c r="B17" s="1">
        <v>5.2586071280767599E-5</v>
      </c>
    </row>
    <row r="18" spans="1:2" x14ac:dyDescent="0.25">
      <c r="A18">
        <v>413.13131313131299</v>
      </c>
      <c r="B18" s="1">
        <v>5.1932327273408803E-5</v>
      </c>
    </row>
    <row r="19" spans="1:2" x14ac:dyDescent="0.25">
      <c r="A19">
        <v>420.20202020201998</v>
      </c>
      <c r="B19" s="1">
        <v>5.1292153449999699E-5</v>
      </c>
    </row>
    <row r="20" spans="1:2" x14ac:dyDescent="0.25">
      <c r="A20">
        <v>427.27272727272702</v>
      </c>
      <c r="B20" s="1">
        <v>5.0666052352276898E-5</v>
      </c>
    </row>
    <row r="21" spans="1:2" x14ac:dyDescent="0.25">
      <c r="A21">
        <v>434.34343434343401</v>
      </c>
      <c r="B21" s="1">
        <v>5.0054429197361603E-5</v>
      </c>
    </row>
    <row r="22" spans="1:2" x14ac:dyDescent="0.25">
      <c r="A22">
        <v>441.414141414141</v>
      </c>
      <c r="B22" s="1">
        <v>4.94576001833238E-5</v>
      </c>
    </row>
    <row r="23" spans="1:2" x14ac:dyDescent="0.25">
      <c r="A23">
        <v>448.48484848484901</v>
      </c>
      <c r="B23" s="1">
        <v>4.8875799712014602E-5</v>
      </c>
    </row>
    <row r="24" spans="1:2" x14ac:dyDescent="0.25">
      <c r="A24">
        <v>455.555555555556</v>
      </c>
      <c r="B24" s="1">
        <v>4.8309186746206302E-5</v>
      </c>
    </row>
    <row r="25" spans="1:2" x14ac:dyDescent="0.25">
      <c r="A25">
        <v>462.62626262626299</v>
      </c>
      <c r="B25" s="1">
        <v>4.77578504867142E-5</v>
      </c>
    </row>
    <row r="26" spans="1:2" x14ac:dyDescent="0.25">
      <c r="A26">
        <v>469.69696969696997</v>
      </c>
      <c r="B26" s="1">
        <v>4.7221815526926901E-5</v>
      </c>
    </row>
    <row r="27" spans="1:2" x14ac:dyDescent="0.25">
      <c r="A27">
        <v>476.76767676767702</v>
      </c>
      <c r="B27" s="1">
        <v>4.6701046616464797E-5</v>
      </c>
    </row>
    <row r="28" spans="1:2" x14ac:dyDescent="0.25">
      <c r="A28">
        <v>483.838383838384</v>
      </c>
      <c r="B28" s="1">
        <v>4.6195453142131098E-5</v>
      </c>
    </row>
    <row r="29" spans="1:2" x14ac:dyDescent="0.25">
      <c r="A29">
        <v>490.90909090909099</v>
      </c>
      <c r="B29" s="1">
        <v>4.5704893412678E-5</v>
      </c>
    </row>
    <row r="30" spans="1:2" x14ac:dyDescent="0.25">
      <c r="A30">
        <v>497.97979797979798</v>
      </c>
      <c r="B30" s="1">
        <v>4.52291788140626E-5</v>
      </c>
    </row>
    <row r="31" spans="1:2" x14ac:dyDescent="0.25">
      <c r="A31">
        <v>505.05050505050502</v>
      </c>
      <c r="B31" s="1">
        <v>4.4768077883789901E-5</v>
      </c>
    </row>
    <row r="32" spans="1:2" x14ac:dyDescent="0.25">
      <c r="A32">
        <v>512.12121212121201</v>
      </c>
      <c r="B32" s="1">
        <v>4.4321320336661702E-5</v>
      </c>
    </row>
    <row r="33" spans="1:2" x14ac:dyDescent="0.25">
      <c r="A33">
        <v>519.19191919191906</v>
      </c>
      <c r="B33" s="1">
        <v>4.3888601059842798E-5</v>
      </c>
    </row>
    <row r="34" spans="1:2" x14ac:dyDescent="0.25">
      <c r="A34">
        <v>526.26262626262599</v>
      </c>
      <c r="B34" s="1">
        <v>4.3469584082685002E-5</v>
      </c>
    </row>
    <row r="35" spans="1:2" x14ac:dyDescent="0.25">
      <c r="A35">
        <v>533.33333333333303</v>
      </c>
      <c r="B35" s="1">
        <v>4.3063906516290802E-5</v>
      </c>
    </row>
    <row r="36" spans="1:2" x14ac:dyDescent="0.25">
      <c r="A36">
        <v>540.40404040403996</v>
      </c>
      <c r="B36" s="1">
        <v>4.2671182449369298E-5</v>
      </c>
    </row>
    <row r="37" spans="1:2" x14ac:dyDescent="0.25">
      <c r="A37">
        <v>547.47474747474803</v>
      </c>
      <c r="B37" s="1">
        <v>4.2291006780540897E-5</v>
      </c>
    </row>
    <row r="38" spans="1:2" x14ac:dyDescent="0.25">
      <c r="A38">
        <v>554.54545454545496</v>
      </c>
      <c r="B38" s="1">
        <v>4.1922958962823202E-5</v>
      </c>
    </row>
    <row r="39" spans="1:2" x14ac:dyDescent="0.25">
      <c r="A39">
        <v>561.616161616162</v>
      </c>
      <c r="B39" s="1">
        <v>4.15666066334683E-5</v>
      </c>
    </row>
    <row r="40" spans="1:2" x14ac:dyDescent="0.25">
      <c r="A40">
        <v>568.68686868686905</v>
      </c>
      <c r="B40" s="1">
        <v>4.12215091014739E-5</v>
      </c>
    </row>
    <row r="41" spans="1:2" x14ac:dyDescent="0.25">
      <c r="A41">
        <v>575.75757575757598</v>
      </c>
      <c r="B41" s="1">
        <v>4.0887220665757399E-5</v>
      </c>
    </row>
    <row r="42" spans="1:2" x14ac:dyDescent="0.25">
      <c r="A42">
        <v>582.82828282828302</v>
      </c>
      <c r="B42" s="1">
        <v>4.05632937389308E-5</v>
      </c>
    </row>
    <row r="43" spans="1:2" x14ac:dyDescent="0.25">
      <c r="A43">
        <v>589.89898989898995</v>
      </c>
      <c r="B43" s="1">
        <v>4.0249281754611301E-5</v>
      </c>
    </row>
    <row r="44" spans="1:2" x14ac:dyDescent="0.25">
      <c r="A44">
        <v>596.969696969697</v>
      </c>
      <c r="B44" s="1">
        <v>3.9944741839969E-5</v>
      </c>
    </row>
    <row r="45" spans="1:2" x14ac:dyDescent="0.25">
      <c r="A45">
        <v>604.04040404040404</v>
      </c>
      <c r="B45" s="1">
        <v>3.9649237239511997E-5</v>
      </c>
    </row>
    <row r="46" spans="1:2" x14ac:dyDescent="0.25">
      <c r="A46">
        <v>611.11111111111097</v>
      </c>
      <c r="B46" s="1">
        <v>3.9362339480687302E-5</v>
      </c>
    </row>
    <row r="47" spans="1:2" x14ac:dyDescent="0.25">
      <c r="A47">
        <v>618.18181818181802</v>
      </c>
      <c r="B47" s="1">
        <v>3.9083630276516198E-5</v>
      </c>
    </row>
    <row r="48" spans="1:2" x14ac:dyDescent="0.25">
      <c r="A48">
        <v>625.25252525252495</v>
      </c>
      <c r="B48" s="1">
        <v>3.8812703164992298E-5</v>
      </c>
    </row>
    <row r="49" spans="1:2" x14ac:dyDescent="0.25">
      <c r="A49">
        <v>632.32323232323199</v>
      </c>
      <c r="B49" s="1">
        <v>3.8549164889189697E-5</v>
      </c>
    </row>
    <row r="50" spans="1:2" x14ac:dyDescent="0.25">
      <c r="A50">
        <v>639.39393939393904</v>
      </c>
      <c r="B50" s="1">
        <v>3.8292636525839299E-5</v>
      </c>
    </row>
    <row r="51" spans="1:2" x14ac:dyDescent="0.25">
      <c r="A51">
        <v>646.46464646464597</v>
      </c>
      <c r="B51" s="1">
        <v>3.8042754373433003E-5</v>
      </c>
    </row>
    <row r="52" spans="1:2" x14ac:dyDescent="0.25">
      <c r="A52">
        <v>653.53535353535403</v>
      </c>
      <c r="B52" s="1">
        <v>3.7799170613670702E-5</v>
      </c>
    </row>
    <row r="53" spans="1:2" x14ac:dyDescent="0.25">
      <c r="A53">
        <v>660.60606060606096</v>
      </c>
      <c r="B53" s="1">
        <v>3.7561553762232597E-5</v>
      </c>
    </row>
    <row r="54" spans="1:2" x14ac:dyDescent="0.25">
      <c r="A54">
        <v>667.67676767676801</v>
      </c>
      <c r="B54" s="1">
        <v>3.7329588926456397E-5</v>
      </c>
    </row>
    <row r="55" spans="1:2" x14ac:dyDescent="0.25">
      <c r="A55">
        <v>674.74747474747505</v>
      </c>
      <c r="B55" s="1">
        <v>3.7102977888539199E-5</v>
      </c>
    </row>
    <row r="56" spans="1:2" x14ac:dyDescent="0.25">
      <c r="A56">
        <v>681.81818181818198</v>
      </c>
      <c r="B56" s="1">
        <v>3.6881439033416001E-5</v>
      </c>
    </row>
    <row r="57" spans="1:2" x14ac:dyDescent="0.25">
      <c r="A57">
        <v>688.88888888888903</v>
      </c>
      <c r="B57" s="1">
        <v>3.66647071405405E-5</v>
      </c>
    </row>
    <row r="58" spans="1:2" x14ac:dyDescent="0.25">
      <c r="A58">
        <v>695.95959595959596</v>
      </c>
      <c r="B58" s="1">
        <v>3.6452533058469702E-5</v>
      </c>
    </row>
    <row r="59" spans="1:2" x14ac:dyDescent="0.25">
      <c r="A59">
        <v>703.030303030303</v>
      </c>
      <c r="B59" s="1">
        <v>3.6244683280504199E-5</v>
      </c>
    </row>
    <row r="60" spans="1:2" x14ac:dyDescent="0.25">
      <c r="A60">
        <v>710.10101010101005</v>
      </c>
      <c r="B60" s="1">
        <v>3.6040939438710397E-5</v>
      </c>
    </row>
    <row r="61" spans="1:2" x14ac:dyDescent="0.25">
      <c r="A61">
        <v>717.17171717171698</v>
      </c>
      <c r="B61" s="1">
        <v>3.5841097732534201E-5</v>
      </c>
    </row>
    <row r="62" spans="1:2" x14ac:dyDescent="0.25">
      <c r="A62">
        <v>724.24242424242402</v>
      </c>
      <c r="B62" s="1">
        <v>3.5644968306946099E-5</v>
      </c>
    </row>
    <row r="63" spans="1:2" x14ac:dyDescent="0.25">
      <c r="A63">
        <v>731.31313131313095</v>
      </c>
      <c r="B63" s="1">
        <v>3.5452374593699997E-5</v>
      </c>
    </row>
    <row r="64" spans="1:2" x14ac:dyDescent="0.25">
      <c r="A64">
        <v>738.383838383838</v>
      </c>
      <c r="B64" s="1">
        <v>3.5263152627887397E-5</v>
      </c>
    </row>
    <row r="65" spans="1:2" x14ac:dyDescent="0.25">
      <c r="A65">
        <v>745.45454545454595</v>
      </c>
      <c r="B65" s="1">
        <v>3.5077150350560699E-5</v>
      </c>
    </row>
    <row r="66" spans="1:2" x14ac:dyDescent="0.25">
      <c r="A66">
        <v>752.52525252525299</v>
      </c>
      <c r="B66" s="1">
        <v>3.48942269068199E-5</v>
      </c>
    </row>
    <row r="67" spans="1:2" x14ac:dyDescent="0.25">
      <c r="A67">
        <v>759.59595959596004</v>
      </c>
      <c r="B67" s="1">
        <v>3.4714251947430902E-5</v>
      </c>
    </row>
    <row r="68" spans="1:2" x14ac:dyDescent="0.25">
      <c r="A68">
        <v>766.66666666666697</v>
      </c>
      <c r="B68" s="1">
        <v>3.45371049407914E-5</v>
      </c>
    </row>
    <row r="69" spans="1:2" x14ac:dyDescent="0.25">
      <c r="A69">
        <v>773.73737373737401</v>
      </c>
      <c r="B69" s="1">
        <v>3.4362674500892701E-5</v>
      </c>
    </row>
    <row r="70" spans="1:2" x14ac:dyDescent="0.25">
      <c r="A70">
        <v>780.80808080808094</v>
      </c>
      <c r="B70" s="1">
        <v>3.4190857735858403E-5</v>
      </c>
    </row>
    <row r="71" spans="1:2" x14ac:dyDescent="0.25">
      <c r="A71">
        <v>787.87878787878799</v>
      </c>
      <c r="B71" s="1">
        <v>3.4021559620670101E-5</v>
      </c>
    </row>
    <row r="72" spans="1:2" x14ac:dyDescent="0.25">
      <c r="A72">
        <v>794.94949494949503</v>
      </c>
      <c r="B72" s="1">
        <v>3.38546923968246E-5</v>
      </c>
    </row>
    <row r="73" spans="1:2" x14ac:dyDescent="0.25">
      <c r="A73">
        <v>802.02020202020196</v>
      </c>
      <c r="B73" s="1">
        <v>3.3690175000904899E-5</v>
      </c>
    </row>
    <row r="74" spans="1:2" x14ac:dyDescent="0.25">
      <c r="A74">
        <v>809.09090909090901</v>
      </c>
      <c r="B74" s="1">
        <v>3.3527932523374599E-5</v>
      </c>
    </row>
    <row r="75" spans="1:2" x14ac:dyDescent="0.25">
      <c r="A75">
        <v>816.16161616161605</v>
      </c>
      <c r="B75" s="1">
        <v>3.3367895698338301E-5</v>
      </c>
    </row>
    <row r="76" spans="1:2" x14ac:dyDescent="0.25">
      <c r="A76">
        <v>823.23232323232298</v>
      </c>
      <c r="B76" s="1">
        <v>3.3210000424514301E-5</v>
      </c>
    </row>
    <row r="77" spans="1:2" x14ac:dyDescent="0.25">
      <c r="A77">
        <v>830.30303030303003</v>
      </c>
      <c r="B77" s="1">
        <v>3.3054187317266298E-5</v>
      </c>
    </row>
    <row r="78" spans="1:2" x14ac:dyDescent="0.25">
      <c r="A78">
        <v>837.37373737373696</v>
      </c>
      <c r="B78" s="1">
        <v>3.2900401291195803E-5</v>
      </c>
    </row>
    <row r="79" spans="1:2" x14ac:dyDescent="0.25">
      <c r="A79">
        <v>844.44444444444503</v>
      </c>
      <c r="B79" s="1">
        <v>3.2748591172533397E-5</v>
      </c>
    </row>
    <row r="80" spans="1:2" x14ac:dyDescent="0.25">
      <c r="A80">
        <v>851.51515151515196</v>
      </c>
      <c r="B80" s="1">
        <v>3.2598709340345998E-5</v>
      </c>
    </row>
    <row r="81" spans="1:2" x14ac:dyDescent="0.25">
      <c r="A81">
        <v>858.585858585859</v>
      </c>
      <c r="B81" s="1">
        <v>3.2450711395420297E-5</v>
      </c>
    </row>
    <row r="82" spans="1:2" x14ac:dyDescent="0.25">
      <c r="A82">
        <v>865.65656565656604</v>
      </c>
      <c r="B82" s="1">
        <v>3.2304555855556903E-5</v>
      </c>
    </row>
    <row r="83" spans="1:2" x14ac:dyDescent="0.25">
      <c r="A83">
        <v>872.72727272727298</v>
      </c>
      <c r="B83" s="1">
        <v>3.2160203875931501E-5</v>
      </c>
    </row>
    <row r="84" spans="1:2" x14ac:dyDescent="0.25">
      <c r="A84">
        <v>879.79797979798002</v>
      </c>
      <c r="B84" s="1">
        <v>3.2017618993127597E-5</v>
      </c>
    </row>
    <row r="85" spans="1:2" x14ac:dyDescent="0.25">
      <c r="A85">
        <v>886.86868686868695</v>
      </c>
      <c r="B85" s="1">
        <v>3.1876766891421702E-5</v>
      </c>
    </row>
    <row r="86" spans="1:2" x14ac:dyDescent="0.25">
      <c r="A86">
        <v>893.93939393939399</v>
      </c>
      <c r="B86" s="1">
        <v>3.1737615189901202E-5</v>
      </c>
    </row>
    <row r="87" spans="1:2" x14ac:dyDescent="0.25">
      <c r="A87">
        <v>901.01010101010104</v>
      </c>
      <c r="B87" s="1">
        <v>3.1600133249010698E-5</v>
      </c>
    </row>
    <row r="88" spans="1:2" x14ac:dyDescent="0.25">
      <c r="A88">
        <v>908.08080808080797</v>
      </c>
      <c r="B88" s="1">
        <v>3.14642919951542E-5</v>
      </c>
    </row>
    <row r="89" spans="1:2" x14ac:dyDescent="0.25">
      <c r="A89">
        <v>915.15151515151501</v>
      </c>
      <c r="B89" s="1">
        <v>3.1330063762022998E-5</v>
      </c>
    </row>
    <row r="90" spans="1:2" x14ac:dyDescent="0.25">
      <c r="A90">
        <v>922.22222222222194</v>
      </c>
      <c r="B90" s="1">
        <v>3.1197422147369402E-5</v>
      </c>
    </row>
    <row r="91" spans="1:2" x14ac:dyDescent="0.25">
      <c r="A91">
        <v>929.29292929292899</v>
      </c>
      <c r="B91" s="1">
        <v>3.1066341884003601E-5</v>
      </c>
    </row>
    <row r="92" spans="1:2" x14ac:dyDescent="0.25">
      <c r="A92">
        <v>936.36363636363603</v>
      </c>
      <c r="B92" s="1">
        <v>3.0936798723852001E-5</v>
      </c>
    </row>
    <row r="93" spans="1:2" x14ac:dyDescent="0.25">
      <c r="A93">
        <v>943.43434343434296</v>
      </c>
      <c r="B93" s="1">
        <v>3.0808769333980799E-5</v>
      </c>
    </row>
    <row r="94" spans="1:2" x14ac:dyDescent="0.25">
      <c r="A94">
        <v>950.50505050505103</v>
      </c>
      <c r="B94" s="1">
        <v>3.0682231203550603E-5</v>
      </c>
    </row>
    <row r="95" spans="1:2" x14ac:dyDescent="0.25">
      <c r="A95">
        <v>957.57575757575796</v>
      </c>
      <c r="B95" s="1">
        <v>3.0557162560737202E-5</v>
      </c>
    </row>
    <row r="96" spans="1:2" x14ac:dyDescent="0.25">
      <c r="A96">
        <v>964.64646464646501</v>
      </c>
      <c r="B96" s="1">
        <v>3.0433542298716398E-5</v>
      </c>
    </row>
    <row r="97" spans="1:2" x14ac:dyDescent="0.25">
      <c r="A97">
        <v>971.71717171717205</v>
      </c>
      <c r="B97" s="1">
        <v>3.0311349909871801E-5</v>
      </c>
    </row>
    <row r="98" spans="1:2" x14ac:dyDescent="0.25">
      <c r="A98">
        <v>978.78787878787898</v>
      </c>
      <c r="B98" s="1">
        <v>3.0190565427452202E-5</v>
      </c>
    </row>
    <row r="99" spans="1:2" x14ac:dyDescent="0.25">
      <c r="A99">
        <v>985.85858585858603</v>
      </c>
      <c r="B99" s="1">
        <v>3.0071169373955901E-5</v>
      </c>
    </row>
    <row r="100" spans="1:2" x14ac:dyDescent="0.25">
      <c r="A100">
        <v>992.92929292929296</v>
      </c>
      <c r="B100" s="1">
        <v>2.9953142715583999E-5</v>
      </c>
    </row>
    <row r="101" spans="1:2" x14ac:dyDescent="0.25">
      <c r="A101">
        <v>1000</v>
      </c>
      <c r="B101" s="1">
        <v>2.9836466822150899E-5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1"/>
  <sheetViews>
    <sheetView tabSelected="1" workbookViewId="0">
      <selection activeCell="Y9" sqref="Y9"/>
    </sheetView>
  </sheetViews>
  <sheetFormatPr defaultRowHeight="15" x14ac:dyDescent="0.25"/>
  <sheetData>
    <row r="1" spans="1:10" x14ac:dyDescent="0.25">
      <c r="A1" t="s">
        <v>0</v>
      </c>
      <c r="B1" t="s">
        <v>21</v>
      </c>
      <c r="C1" t="s">
        <v>11</v>
      </c>
      <c r="E1" t="s">
        <v>12</v>
      </c>
      <c r="F1" t="s">
        <v>22</v>
      </c>
      <c r="I1" t="s">
        <v>13</v>
      </c>
      <c r="J1" t="s">
        <v>14</v>
      </c>
    </row>
    <row r="2" spans="1:10" x14ac:dyDescent="0.25">
      <c r="A2">
        <v>300</v>
      </c>
      <c r="B2">
        <v>5.3267842787655402E-2</v>
      </c>
      <c r="C2" s="1">
        <v>6.3202358904074004E-5</v>
      </c>
      <c r="D2" s="1"/>
      <c r="E2" s="1">
        <f>1/B2+1/C2</f>
        <v>15840.96730804712</v>
      </c>
      <c r="F2" s="1">
        <f>1/E2</f>
        <v>6.3127458099860218E-5</v>
      </c>
      <c r="G2" s="1"/>
      <c r="I2">
        <v>323.41170585292599</v>
      </c>
      <c r="J2">
        <v>1.75200817307696E-4</v>
      </c>
    </row>
    <row r="3" spans="1:10" x14ac:dyDescent="0.25">
      <c r="A3">
        <v>307.07070707070699</v>
      </c>
      <c r="B3">
        <v>5.4177672379023503E-2</v>
      </c>
      <c r="C3" s="1">
        <v>6.2523650617987394E-5</v>
      </c>
      <c r="D3" s="1"/>
      <c r="E3" s="1">
        <f t="shared" ref="E3:E66" si="0">1/B3+1/C3</f>
        <v>16012.405520197442</v>
      </c>
      <c r="F3" s="1">
        <f t="shared" ref="F3:F66" si="1">1/E3</f>
        <v>6.2451578480112677E-5</v>
      </c>
      <c r="G3" s="1"/>
      <c r="I3">
        <v>337.81890945472702</v>
      </c>
      <c r="J3">
        <v>3.2938548941799199E-4</v>
      </c>
    </row>
    <row r="4" spans="1:10" x14ac:dyDescent="0.25">
      <c r="A4">
        <v>314.14141414141397</v>
      </c>
      <c r="B4">
        <v>5.5122816394185703E-2</v>
      </c>
      <c r="C4" s="1">
        <v>6.18258032342785E-5</v>
      </c>
      <c r="D4" s="1"/>
      <c r="E4" s="1">
        <f t="shared" si="0"/>
        <v>16192.617783814561</v>
      </c>
      <c r="F4" s="1">
        <f t="shared" si="1"/>
        <v>6.1756537043661748E-5</v>
      </c>
      <c r="G4" s="1"/>
      <c r="I4">
        <v>348.02401200600298</v>
      </c>
      <c r="J4">
        <v>4.7790155468750001E-4</v>
      </c>
    </row>
    <row r="5" spans="1:10" x14ac:dyDescent="0.25">
      <c r="A5">
        <v>321.21212121212102</v>
      </c>
      <c r="B5">
        <v>5.6116749798300003E-2</v>
      </c>
      <c r="C5" s="1">
        <v>6.1113828451659497E-5</v>
      </c>
      <c r="D5" s="1"/>
      <c r="E5" s="1">
        <f t="shared" si="0"/>
        <v>16380.728768949361</v>
      </c>
      <c r="F5" s="1">
        <f t="shared" si="1"/>
        <v>6.1047344968897794E-5</v>
      </c>
      <c r="G5" s="1"/>
      <c r="I5">
        <v>358.22911455727899</v>
      </c>
      <c r="J5">
        <v>5.8277032474226501E-4</v>
      </c>
    </row>
    <row r="6" spans="1:10" x14ac:dyDescent="0.25">
      <c r="A6">
        <v>328.28282828282801</v>
      </c>
      <c r="B6">
        <v>5.7176179927581297E-2</v>
      </c>
      <c r="C6" s="1">
        <v>6.0392045878959601E-5</v>
      </c>
      <c r="D6" s="1"/>
      <c r="E6" s="1">
        <f t="shared" si="0"/>
        <v>16575.961789097099</v>
      </c>
      <c r="F6" s="1">
        <f t="shared" si="1"/>
        <v>6.0328324396702807E-5</v>
      </c>
      <c r="G6" s="1"/>
      <c r="I6">
        <v>360.03001500750401</v>
      </c>
      <c r="J6">
        <v>5.9946361824999704E-4</v>
      </c>
    </row>
    <row r="7" spans="1:10" x14ac:dyDescent="0.25">
      <c r="A7">
        <v>335.35353535353499</v>
      </c>
      <c r="B7">
        <v>5.8320953347055102E-2</v>
      </c>
      <c r="C7" s="1">
        <v>5.96641847765005E-5</v>
      </c>
      <c r="D7" s="1"/>
      <c r="E7" s="1">
        <f t="shared" si="0"/>
        <v>16777.620199828027</v>
      </c>
      <c r="F7" s="1">
        <f t="shared" si="1"/>
        <v>5.9603208803728321E-5</v>
      </c>
      <c r="G7" s="1"/>
      <c r="I7">
        <v>361.83091545772902</v>
      </c>
      <c r="J7">
        <v>6.1605848333333196E-4</v>
      </c>
    </row>
    <row r="8" spans="1:10" x14ac:dyDescent="0.25">
      <c r="A8">
        <v>342.42424242424198</v>
      </c>
      <c r="B8">
        <v>5.9573398714873403E-2</v>
      </c>
      <c r="C8" s="1">
        <v>5.8933469339110802E-5</v>
      </c>
      <c r="D8" s="1"/>
      <c r="E8" s="1">
        <f t="shared" si="0"/>
        <v>16985.072648204299</v>
      </c>
      <c r="F8" s="1">
        <f t="shared" si="1"/>
        <v>5.887522654227342E-5</v>
      </c>
      <c r="G8" s="1"/>
      <c r="I8">
        <v>364.83241620810401</v>
      </c>
      <c r="J8">
        <v>6.1334949899691401E-4</v>
      </c>
    </row>
    <row r="9" spans="1:10" x14ac:dyDescent="0.25">
      <c r="A9">
        <v>349.49494949494999</v>
      </c>
      <c r="B9">
        <v>6.0956894177025302E-2</v>
      </c>
      <c r="C9" s="1">
        <v>5.82026903234906E-5</v>
      </c>
      <c r="D9" s="1"/>
      <c r="E9" s="1">
        <f t="shared" si="0"/>
        <v>17197.741403795695</v>
      </c>
      <c r="F9" s="1">
        <f t="shared" si="1"/>
        <v>5.8147170405719155E-5</v>
      </c>
      <c r="G9" s="1"/>
      <c r="I9">
        <v>366.03301650825398</v>
      </c>
      <c r="J9">
        <v>6.3542031272727402E-4</v>
      </c>
    </row>
    <row r="10" spans="1:10" x14ac:dyDescent="0.25">
      <c r="A10">
        <v>356.56565656565698</v>
      </c>
      <c r="B10">
        <v>6.2493552817985E-2</v>
      </c>
      <c r="C10" s="1">
        <v>5.7474265304787198E-5</v>
      </c>
      <c r="D10" s="1"/>
      <c r="E10" s="1">
        <f t="shared" si="0"/>
        <v>17415.093134410854</v>
      </c>
      <c r="F10" s="1">
        <f t="shared" si="1"/>
        <v>5.742145576150142E-5</v>
      </c>
      <c r="G10" s="1"/>
      <c r="I10">
        <v>368.43421710855398</v>
      </c>
      <c r="J10">
        <v>6.37089921418131E-4</v>
      </c>
    </row>
    <row r="11" spans="1:10" x14ac:dyDescent="0.25">
      <c r="A11">
        <v>363.63636363636402</v>
      </c>
      <c r="B11">
        <v>6.4201155979042607E-2</v>
      </c>
      <c r="C11" s="1">
        <v>5.6750289434151502E-5</v>
      </c>
      <c r="D11" s="1"/>
      <c r="E11" s="1">
        <f t="shared" si="0"/>
        <v>17636.631547751491</v>
      </c>
      <c r="F11" s="1">
        <f t="shared" si="1"/>
        <v>5.6700169603956533E-5</v>
      </c>
      <c r="G11" s="1"/>
      <c r="I11">
        <v>370.235117558779</v>
      </c>
      <c r="J11">
        <v>6.4923818148148501E-4</v>
      </c>
    </row>
    <row r="12" spans="1:10" x14ac:dyDescent="0.25">
      <c r="A12">
        <v>370.70707070707101</v>
      </c>
      <c r="B12">
        <v>6.6089807361603997E-2</v>
      </c>
      <c r="C12" s="1">
        <v>5.6032578238289399E-5</v>
      </c>
      <c r="D12" s="1"/>
      <c r="E12" s="1">
        <f t="shared" si="0"/>
        <v>17861.891354556603</v>
      </c>
      <c r="F12" s="1">
        <f t="shared" si="1"/>
        <v>5.5985112670887343E-5</v>
      </c>
      <c r="G12" s="1"/>
      <c r="I12">
        <v>372.03601800900498</v>
      </c>
      <c r="J12">
        <v>6.6457254749999596E-4</v>
      </c>
    </row>
    <row r="13" spans="1:10" x14ac:dyDescent="0.25">
      <c r="A13">
        <v>377.777777777778</v>
      </c>
      <c r="B13">
        <v>6.8159109031249804E-2</v>
      </c>
      <c r="C13" s="1">
        <v>5.5322703736230399E-5</v>
      </c>
      <c r="D13" s="1"/>
      <c r="E13" s="1">
        <f t="shared" si="0"/>
        <v>18090.43308453315</v>
      </c>
      <c r="F13" s="1">
        <f t="shared" si="1"/>
        <v>5.5277836375016031E-5</v>
      </c>
      <c r="G13" s="1"/>
      <c r="I13">
        <v>373.83691845922999</v>
      </c>
      <c r="J13">
        <v>6.7195599485094502E-4</v>
      </c>
    </row>
    <row r="14" spans="1:10" x14ac:dyDescent="0.25">
      <c r="A14">
        <v>384.84848484848499</v>
      </c>
      <c r="B14">
        <v>7.0396773594946699E-2</v>
      </c>
      <c r="C14" s="1">
        <v>5.4622024934192399E-5</v>
      </c>
      <c r="D14" s="1"/>
      <c r="E14" s="1">
        <f t="shared" si="0"/>
        <v>18321.838448898114</v>
      </c>
      <c r="F14" s="1">
        <f t="shared" si="1"/>
        <v>5.4579675658047327E-5</v>
      </c>
      <c r="G14" s="1"/>
      <c r="I14">
        <v>376.23811905952999</v>
      </c>
      <c r="J14">
        <v>6.6622905479002403E-4</v>
      </c>
    </row>
    <row r="15" spans="1:10" x14ac:dyDescent="0.25">
      <c r="A15">
        <v>391.91919191919197</v>
      </c>
      <c r="B15">
        <v>7.27793196471897E-2</v>
      </c>
      <c r="C15" s="1">
        <v>5.3931713585943599E-5</v>
      </c>
      <c r="D15" s="1"/>
      <c r="E15" s="1">
        <f t="shared" si="0"/>
        <v>18555.706173734005</v>
      </c>
      <c r="F15" s="1">
        <f t="shared" si="1"/>
        <v>5.3891778121358765E-5</v>
      </c>
      <c r="G15" s="1"/>
      <c r="I15">
        <v>378.03901950975501</v>
      </c>
      <c r="J15">
        <v>6.7631167499999901E-4</v>
      </c>
    </row>
    <row r="16" spans="1:10" x14ac:dyDescent="0.25">
      <c r="A16">
        <v>398.98989898989902</v>
      </c>
      <c r="B16">
        <v>7.5274875019650106E-2</v>
      </c>
      <c r="C16" s="1">
        <v>5.3252775965103802E-5</v>
      </c>
      <c r="D16" s="1"/>
      <c r="E16" s="1">
        <f t="shared" si="0"/>
        <v>18791.648436981734</v>
      </c>
      <c r="F16" s="1">
        <f t="shared" si="1"/>
        <v>5.321512922900432E-5</v>
      </c>
      <c r="G16" s="1"/>
      <c r="I16">
        <v>380.44022011005501</v>
      </c>
      <c r="J16">
        <v>6.7191275615671698E-4</v>
      </c>
    </row>
    <row r="17" spans="1:10" x14ac:dyDescent="0.25">
      <c r="A17">
        <v>406.06060606060601</v>
      </c>
      <c r="B17">
        <v>7.7847402360557497E-2</v>
      </c>
      <c r="C17" s="1">
        <v>5.2586071280767599E-5</v>
      </c>
      <c r="D17" s="1"/>
      <c r="E17" s="1">
        <f t="shared" si="0"/>
        <v>19029.288128346907</v>
      </c>
      <c r="F17" s="1">
        <f t="shared" si="1"/>
        <v>5.255057326660338E-5</v>
      </c>
      <c r="G17" s="1"/>
      <c r="I17">
        <v>381.64082041020498</v>
      </c>
      <c r="J17">
        <v>6.8618614705882495E-4</v>
      </c>
    </row>
    <row r="18" spans="1:10" x14ac:dyDescent="0.25">
      <c r="A18">
        <v>413.13131313131299</v>
      </c>
      <c r="B18">
        <v>8.0461226109743003E-2</v>
      </c>
      <c r="C18" s="1">
        <v>5.1932327273408803E-5</v>
      </c>
      <c r="D18" s="1"/>
      <c r="E18" s="1">
        <f t="shared" si="0"/>
        <v>19268.257085632718</v>
      </c>
      <c r="F18" s="1">
        <f t="shared" si="1"/>
        <v>5.1898830057942557E-5</v>
      </c>
      <c r="G18" s="1"/>
      <c r="I18">
        <v>383.44172086043</v>
      </c>
      <c r="J18">
        <v>6.8892011582734E-4</v>
      </c>
    </row>
    <row r="19" spans="1:10" x14ac:dyDescent="0.25">
      <c r="A19">
        <v>420.20202020201998</v>
      </c>
      <c r="B19">
        <v>8.3084782027849205E-2</v>
      </c>
      <c r="C19" s="1">
        <v>5.1292153449999699E-5</v>
      </c>
      <c r="D19" s="1"/>
      <c r="E19" s="1">
        <f t="shared" si="0"/>
        <v>19508.195305664023</v>
      </c>
      <c r="F19" s="1">
        <f t="shared" si="1"/>
        <v>5.1260507921491813E-5</v>
      </c>
      <c r="G19" s="1"/>
      <c r="I19">
        <v>385.84292146073</v>
      </c>
      <c r="J19">
        <v>6.8022638333333602E-4</v>
      </c>
    </row>
    <row r="20" spans="1:10" x14ac:dyDescent="0.25">
      <c r="A20">
        <v>427.27272727272702</v>
      </c>
      <c r="B20">
        <v>8.5692943740310001E-2</v>
      </c>
      <c r="C20" s="1">
        <v>5.0666052352276898E-5</v>
      </c>
      <c r="D20" s="1"/>
      <c r="E20" s="1">
        <f t="shared" si="0"/>
        <v>19748.750982265756</v>
      </c>
      <c r="F20" s="1">
        <f t="shared" si="1"/>
        <v>5.0636113691341451E-5</v>
      </c>
      <c r="G20" s="1"/>
      <c r="I20">
        <v>387.64382191095501</v>
      </c>
      <c r="J20">
        <v>6.8266192294520896E-4</v>
      </c>
    </row>
    <row r="21" spans="1:10" x14ac:dyDescent="0.25">
      <c r="A21">
        <v>434.34343434343401</v>
      </c>
      <c r="B21">
        <v>8.8267829632690503E-2</v>
      </c>
      <c r="C21" s="1">
        <v>5.0054429197361603E-5</v>
      </c>
      <c r="D21" s="1"/>
      <c r="E21" s="1">
        <f t="shared" si="0"/>
        <v>19989.58115145141</v>
      </c>
      <c r="F21" s="1">
        <f t="shared" si="1"/>
        <v>5.0026060697494487E-5</v>
      </c>
      <c r="G21" s="1"/>
      <c r="I21">
        <v>389.44472236118099</v>
      </c>
      <c r="J21">
        <v>6.9050423959731203E-4</v>
      </c>
    </row>
    <row r="22" spans="1:10" x14ac:dyDescent="0.25">
      <c r="A22">
        <v>441.414141414141</v>
      </c>
      <c r="B22">
        <v>9.0798403016325899E-2</v>
      </c>
      <c r="C22" s="1">
        <v>4.94576001833238E-5</v>
      </c>
      <c r="D22" s="1"/>
      <c r="E22" s="1">
        <f t="shared" si="0"/>
        <v>20230.352728358645</v>
      </c>
      <c r="F22" s="1">
        <f t="shared" si="1"/>
        <v>4.9430675452248196E-5</v>
      </c>
      <c r="G22" s="1"/>
      <c r="I22">
        <v>391.24562281140601</v>
      </c>
      <c r="J22">
        <v>6.9038215816885704E-4</v>
      </c>
    </row>
    <row r="23" spans="1:10" x14ac:dyDescent="0.25">
      <c r="A23">
        <v>448.48484848484901</v>
      </c>
      <c r="B23">
        <v>9.3279346721264395E-2</v>
      </c>
      <c r="C23" s="1">
        <v>4.8875799712014602E-5</v>
      </c>
      <c r="D23" s="1"/>
      <c r="E23" s="1">
        <f t="shared" si="0"/>
        <v>20470.743768044365</v>
      </c>
      <c r="F23" s="1">
        <f t="shared" si="1"/>
        <v>4.8850203555429153E-5</v>
      </c>
      <c r="G23" s="1"/>
      <c r="I23">
        <v>393.64682341170601</v>
      </c>
      <c r="J23">
        <v>6.7935673290598199E-4</v>
      </c>
    </row>
    <row r="24" spans="1:10" x14ac:dyDescent="0.25">
      <c r="A24">
        <v>455.555555555556</v>
      </c>
      <c r="B24">
        <v>9.5709661244423094E-2</v>
      </c>
      <c r="C24" s="1">
        <v>4.8309186746206302E-5</v>
      </c>
      <c r="D24" s="1"/>
      <c r="E24" s="1">
        <f t="shared" si="0"/>
        <v>20710.44483712436</v>
      </c>
      <c r="F24" s="1">
        <f t="shared" si="1"/>
        <v>4.8284815119347759E-5</v>
      </c>
      <c r="G24" s="1"/>
      <c r="I24">
        <v>395.44772386193102</v>
      </c>
      <c r="J24">
        <v>6.7880413883647799E-4</v>
      </c>
    </row>
    <row r="25" spans="1:10" x14ac:dyDescent="0.25">
      <c r="A25">
        <v>462.62626262626299</v>
      </c>
      <c r="B25">
        <v>9.8091303372622493E-2</v>
      </c>
      <c r="C25" s="1">
        <v>4.77578504867142E-5</v>
      </c>
      <c r="D25" s="1"/>
      <c r="E25" s="1">
        <f t="shared" si="0"/>
        <v>20949.160425074839</v>
      </c>
      <c r="F25" s="1">
        <f t="shared" si="1"/>
        <v>4.7734609870239116E-5</v>
      </c>
      <c r="G25" s="1"/>
      <c r="I25">
        <v>397.24862431215598</v>
      </c>
      <c r="J25">
        <v>6.7447740740740798E-4</v>
      </c>
    </row>
    <row r="26" spans="1:10" x14ac:dyDescent="0.25">
      <c r="A26">
        <v>469.69696969696997</v>
      </c>
      <c r="B26">
        <v>0.10042803657629699</v>
      </c>
      <c r="C26" s="1">
        <v>4.7221815526926901E-5</v>
      </c>
      <c r="D26" s="1"/>
      <c r="E26" s="1">
        <f t="shared" si="0"/>
        <v>21186.610348203147</v>
      </c>
      <c r="F26" s="1">
        <f t="shared" si="1"/>
        <v>4.719962200488625E-5</v>
      </c>
      <c r="G26" s="1"/>
      <c r="I26">
        <v>433.26663331665799</v>
      </c>
      <c r="J26">
        <v>2.7713065964714799E-4</v>
      </c>
    </row>
    <row r="27" spans="1:10" x14ac:dyDescent="0.25">
      <c r="A27">
        <v>476.76767676767702</v>
      </c>
      <c r="B27">
        <v>0.102724551546214</v>
      </c>
      <c r="C27" s="1">
        <v>4.6701046616464797E-5</v>
      </c>
      <c r="D27" s="1"/>
      <c r="E27" s="1">
        <f t="shared" si="0"/>
        <v>21422.531109788888</v>
      </c>
      <c r="F27" s="1">
        <f t="shared" si="1"/>
        <v>4.6679824847730359E-5</v>
      </c>
      <c r="G27" s="1"/>
      <c r="I27">
        <v>436.86843421710898</v>
      </c>
      <c r="J27">
        <v>2.7511237499999898E-4</v>
      </c>
    </row>
    <row r="28" spans="1:10" x14ac:dyDescent="0.25">
      <c r="A28">
        <v>483.838383838384</v>
      </c>
      <c r="B28">
        <v>0.10498584623514499</v>
      </c>
      <c r="C28" s="1">
        <v>4.6195453142131098E-5</v>
      </c>
      <c r="D28" s="1"/>
      <c r="E28" s="1">
        <f t="shared" si="0"/>
        <v>21656.677182745174</v>
      </c>
      <c r="F28" s="1">
        <f t="shared" si="1"/>
        <v>4.6175135343326997E-5</v>
      </c>
      <c r="G28" s="1"/>
      <c r="I28">
        <v>444.67233616808397</v>
      </c>
      <c r="J28">
        <v>2.7100896438450898E-4</v>
      </c>
    </row>
    <row r="29" spans="1:10" x14ac:dyDescent="0.25">
      <c r="A29">
        <v>490.90909090909099</v>
      </c>
      <c r="B29">
        <v>0.107216822277201</v>
      </c>
      <c r="C29" s="1">
        <v>4.5704893412678E-5</v>
      </c>
      <c r="D29" s="1"/>
      <c r="E29" s="1">
        <f t="shared" si="0"/>
        <v>21888.82218125353</v>
      </c>
      <c r="F29" s="1">
        <f t="shared" si="1"/>
        <v>4.5685418416731452E-5</v>
      </c>
      <c r="G29" s="1"/>
    </row>
    <row r="30" spans="1:10" x14ac:dyDescent="0.25">
      <c r="A30">
        <v>497.97979797979798</v>
      </c>
      <c r="B30">
        <v>0.109422045965204</v>
      </c>
      <c r="C30" s="1">
        <v>4.52291788140626E-5</v>
      </c>
      <c r="D30" s="1"/>
      <c r="E30" s="1">
        <f t="shared" si="0"/>
        <v>22118.759888143115</v>
      </c>
      <c r="F30" s="1">
        <f t="shared" si="1"/>
        <v>4.521049123265069E-5</v>
      </c>
      <c r="G30" s="1"/>
    </row>
    <row r="31" spans="1:10" x14ac:dyDescent="0.25">
      <c r="A31">
        <v>505.05050505050502</v>
      </c>
      <c r="B31">
        <v>0.1116056258878</v>
      </c>
      <c r="C31" s="1">
        <v>4.4768077883789901E-5</v>
      </c>
      <c r="D31" s="1"/>
      <c r="E31" s="1">
        <f t="shared" si="0"/>
        <v>22346.305106662101</v>
      </c>
      <c r="F31" s="1">
        <f t="shared" si="1"/>
        <v>4.475012738020256E-5</v>
      </c>
      <c r="G31" s="1"/>
    </row>
    <row r="32" spans="1:10" x14ac:dyDescent="0.25">
      <c r="A32">
        <v>512.12121212121201</v>
      </c>
      <c r="B32">
        <v>0.11377116829334601</v>
      </c>
      <c r="C32" s="1">
        <v>4.4321320336661702E-5</v>
      </c>
      <c r="D32" s="1"/>
      <c r="E32" s="1">
        <f t="shared" si="0"/>
        <v>22571.294309058183</v>
      </c>
      <c r="F32" s="1">
        <f t="shared" si="1"/>
        <v>4.4304061003656568E-5</v>
      </c>
      <c r="G32" s="1"/>
    </row>
    <row r="33" spans="1:7" x14ac:dyDescent="0.25">
      <c r="A33">
        <v>519.19191919191906</v>
      </c>
      <c r="B33">
        <v>0.115921780998421</v>
      </c>
      <c r="C33" s="1">
        <v>4.3888601059842798E-5</v>
      </c>
      <c r="D33" s="1"/>
      <c r="E33" s="1">
        <f t="shared" si="0"/>
        <v>22793.586059836325</v>
      </c>
      <c r="F33" s="1">
        <f t="shared" si="1"/>
        <v>4.3871990891422754E-5</v>
      </c>
      <c r="G33" s="1"/>
    </row>
    <row r="34" spans="1:7" x14ac:dyDescent="0.25">
      <c r="A34">
        <v>526.26262626262599</v>
      </c>
      <c r="B34">
        <v>0.118060105230305</v>
      </c>
      <c r="C34" s="1">
        <v>4.3469584082685002E-5</v>
      </c>
      <c r="D34" s="1"/>
      <c r="E34" s="1">
        <f t="shared" si="0"/>
        <v>23013.061198259682</v>
      </c>
      <c r="F34" s="1">
        <f t="shared" si="1"/>
        <v>4.3453584526843526E-5</v>
      </c>
      <c r="G34" s="1"/>
    </row>
    <row r="35" spans="1:7" x14ac:dyDescent="0.25">
      <c r="A35">
        <v>533.33333333333303</v>
      </c>
      <c r="B35">
        <v>0.12018836155356399</v>
      </c>
      <c r="C35" s="1">
        <v>4.3063906516290802E-5</v>
      </c>
      <c r="D35" s="1"/>
      <c r="E35" s="1">
        <f t="shared" si="0"/>
        <v>23229.622772090144</v>
      </c>
      <c r="F35" s="1">
        <f t="shared" si="1"/>
        <v>4.3048482095950215E-5</v>
      </c>
      <c r="G35" s="1"/>
    </row>
    <row r="36" spans="1:7" x14ac:dyDescent="0.25">
      <c r="A36">
        <v>540.40404040403996</v>
      </c>
      <c r="B36">
        <v>0.122308401010877</v>
      </c>
      <c r="C36" s="1">
        <v>4.2671182449369298E-5</v>
      </c>
      <c r="D36" s="1"/>
      <c r="E36" s="1">
        <f t="shared" si="0"/>
        <v>23443.195722242661</v>
      </c>
      <c r="F36" s="1">
        <f t="shared" si="1"/>
        <v>4.2656300439927242E-5</v>
      </c>
      <c r="G36" s="1"/>
    </row>
    <row r="37" spans="1:7" x14ac:dyDescent="0.25">
      <c r="A37">
        <v>547.47474747474803</v>
      </c>
      <c r="B37">
        <v>0.124421756099608</v>
      </c>
      <c r="C37" s="1">
        <v>4.2291006780540897E-5</v>
      </c>
      <c r="D37" s="1"/>
      <c r="E37" s="1">
        <f t="shared" si="0"/>
        <v>23653.726325504918</v>
      </c>
      <c r="F37" s="1">
        <f t="shared" si="1"/>
        <v>4.2276636934018209E-5</v>
      </c>
      <c r="G37" s="1"/>
    </row>
    <row r="38" spans="1:7" x14ac:dyDescent="0.25">
      <c r="A38">
        <v>554.54545454545496</v>
      </c>
      <c r="B38">
        <v>0.12652968855691701</v>
      </c>
      <c r="C38" s="1">
        <v>4.1922958962823202E-5</v>
      </c>
      <c r="D38" s="1"/>
      <c r="E38" s="1">
        <f t="shared" si="0"/>
        <v>23861.181409379526</v>
      </c>
      <c r="F38" s="1">
        <f t="shared" si="1"/>
        <v>4.1909073270232663E-5</v>
      </c>
      <c r="G38" s="1"/>
    </row>
    <row r="39" spans="1:7" x14ac:dyDescent="0.25">
      <c r="A39">
        <v>561.616161616162</v>
      </c>
      <c r="B39">
        <v>0.12863323245215699</v>
      </c>
      <c r="C39" s="1">
        <v>4.15666066334683E-5</v>
      </c>
      <c r="D39" s="1"/>
      <c r="E39" s="1">
        <f t="shared" si="0"/>
        <v>24065.547359146691</v>
      </c>
      <c r="F39" s="1">
        <f t="shared" si="1"/>
        <v>4.1553179118526299E-5</v>
      </c>
      <c r="G39" s="1"/>
    </row>
    <row r="40" spans="1:7" x14ac:dyDescent="0.25">
      <c r="A40">
        <v>568.68686868686905</v>
      </c>
      <c r="B40">
        <v>0.130733232037478</v>
      </c>
      <c r="C40" s="1">
        <v>4.12215091014739E-5</v>
      </c>
      <c r="D40" s="1"/>
      <c r="E40" s="1">
        <f t="shared" si="0"/>
        <v>24266.828942201097</v>
      </c>
      <c r="F40" s="1">
        <f t="shared" si="1"/>
        <v>4.1208515640086601E-5</v>
      </c>
      <c r="G40" s="1"/>
    </row>
    <row r="41" spans="1:7" x14ac:dyDescent="0.25">
      <c r="A41">
        <v>575.75757575757598</v>
      </c>
      <c r="B41">
        <v>0.132830374373552</v>
      </c>
      <c r="C41" s="1">
        <v>4.0887220665757399E-5</v>
      </c>
      <c r="D41" s="1"/>
      <c r="E41" s="1">
        <f t="shared" si="0"/>
        <v>24465.047978455244</v>
      </c>
      <c r="F41" s="1">
        <f t="shared" si="1"/>
        <v>4.0874638826812604E-5</v>
      </c>
      <c r="G41" s="1"/>
    </row>
    <row r="42" spans="1:7" x14ac:dyDescent="0.25">
      <c r="A42">
        <v>582.82828282828302</v>
      </c>
      <c r="B42">
        <v>0.13492521706077501</v>
      </c>
      <c r="C42" s="1">
        <v>4.05632937389308E-5</v>
      </c>
      <c r="D42" s="1"/>
      <c r="E42" s="1">
        <f t="shared" si="0"/>
        <v>24660.241888067972</v>
      </c>
      <c r="F42" s="1">
        <f t="shared" si="1"/>
        <v>4.0551102642827558E-5</v>
      </c>
      <c r="G42" s="1"/>
    </row>
    <row r="43" spans="1:7" x14ac:dyDescent="0.25">
      <c r="A43">
        <v>589.89898989898995</v>
      </c>
      <c r="B43">
        <v>0.137018211559463</v>
      </c>
      <c r="C43" s="1">
        <v>4.0249281754611301E-5</v>
      </c>
      <c r="D43" s="1"/>
      <c r="E43" s="1">
        <f t="shared" si="0"/>
        <v>24852.462148954597</v>
      </c>
      <c r="F43" s="1">
        <f t="shared" si="1"/>
        <v>4.0237461946685407E-5</v>
      </c>
      <c r="G43" s="1"/>
    </row>
    <row r="44" spans="1:7" x14ac:dyDescent="0.25">
      <c r="A44">
        <v>596.969696969697</v>
      </c>
      <c r="B44">
        <v>0.13910972263730401</v>
      </c>
      <c r="C44" s="1">
        <v>3.9944741839969E-5</v>
      </c>
      <c r="D44" s="1"/>
      <c r="E44" s="1">
        <f t="shared" si="0"/>
        <v>25041.772696551128</v>
      </c>
      <c r="F44" s="1">
        <f t="shared" si="1"/>
        <v>3.9933275176550293E-5</v>
      </c>
      <c r="G44" s="1"/>
    </row>
    <row r="45" spans="1:7" x14ac:dyDescent="0.25">
      <c r="A45">
        <v>604.04040404040404</v>
      </c>
      <c r="B45">
        <v>0.14120004447930901</v>
      </c>
      <c r="C45" s="1">
        <v>3.9649237239511997E-5</v>
      </c>
      <c r="D45" s="1"/>
      <c r="E45" s="1">
        <f t="shared" si="0"/>
        <v>25228.248297250444</v>
      </c>
      <c r="F45" s="1">
        <f t="shared" si="1"/>
        <v>3.9638106784805474E-5</v>
      </c>
      <c r="G45" s="1"/>
    </row>
    <row r="46" spans="1:7" x14ac:dyDescent="0.25">
      <c r="A46">
        <v>611.11111111111097</v>
      </c>
      <c r="B46">
        <v>0.143289413960943</v>
      </c>
      <c r="C46" s="1">
        <v>3.9362339480687302E-5</v>
      </c>
      <c r="D46" s="1"/>
      <c r="E46" s="1">
        <f t="shared" si="0"/>
        <v>25411.972924969556</v>
      </c>
      <c r="F46" s="1">
        <f t="shared" si="1"/>
        <v>3.935152941302758E-5</v>
      </c>
      <c r="G46" s="1"/>
    </row>
    <row r="47" spans="1:7" x14ac:dyDescent="0.25">
      <c r="A47">
        <v>618.18181818181802</v>
      </c>
      <c r="B47">
        <v>0.145378021535188</v>
      </c>
      <c r="C47" s="1">
        <v>3.9083630276516198E-5</v>
      </c>
      <c r="D47" s="1"/>
      <c r="E47" s="1">
        <f t="shared" si="0"/>
        <v>25593.038167622686</v>
      </c>
      <c r="F47" s="1">
        <f t="shared" si="1"/>
        <v>3.9073125802824101E-5</v>
      </c>
      <c r="G47" s="1"/>
    </row>
    <row r="48" spans="1:7" x14ac:dyDescent="0.25">
      <c r="A48">
        <v>625.25252525252495</v>
      </c>
      <c r="B48">
        <v>0.14746602012916801</v>
      </c>
      <c r="C48" s="1">
        <v>3.8812703164992298E-5</v>
      </c>
      <c r="D48" s="1"/>
      <c r="E48" s="1">
        <f t="shared" si="0"/>
        <v>25771.541687057048</v>
      </c>
      <c r="F48" s="1">
        <f t="shared" si="1"/>
        <v>3.8802490442479765E-5</v>
      </c>
      <c r="G48" s="1"/>
    </row>
    <row r="49" spans="1:7" x14ac:dyDescent="0.25">
      <c r="A49">
        <v>632.32323232323199</v>
      </c>
      <c r="B49">
        <v>0.149553532391209</v>
      </c>
      <c r="C49" s="1">
        <v>3.8549164889189697E-5</v>
      </c>
      <c r="D49" s="1"/>
      <c r="E49" s="1">
        <f t="shared" si="0"/>
        <v>25947.585752446179</v>
      </c>
      <c r="F49" s="1">
        <f t="shared" si="1"/>
        <v>3.8539230953528157E-5</v>
      </c>
      <c r="G49" s="1"/>
    </row>
    <row r="50" spans="1:7" x14ac:dyDescent="0.25">
      <c r="A50">
        <v>639.39393939393904</v>
      </c>
      <c r="B50">
        <v>0.15164065657814599</v>
      </c>
      <c r="C50" s="1">
        <v>3.8292636525839299E-5</v>
      </c>
      <c r="D50" s="1"/>
      <c r="E50" s="1">
        <f t="shared" si="0"/>
        <v>26121.275863403007</v>
      </c>
      <c r="F50" s="1">
        <f t="shared" si="1"/>
        <v>3.8282969225138099E-5</v>
      </c>
      <c r="G50" s="1"/>
    </row>
    <row r="51" spans="1:7" x14ac:dyDescent="0.25">
      <c r="A51">
        <v>646.46464646464597</v>
      </c>
      <c r="B51">
        <v>0.15372747132671399</v>
      </c>
      <c r="C51" s="1">
        <v>3.8042754373433003E-5</v>
      </c>
      <c r="D51" s="1"/>
      <c r="E51" s="1">
        <f t="shared" si="0"/>
        <v>26292.719475338195</v>
      </c>
      <c r="F51" s="1">
        <f t="shared" si="1"/>
        <v>3.8033342307476824E-5</v>
      </c>
      <c r="G51" s="1"/>
    </row>
    <row r="52" spans="1:7" x14ac:dyDescent="0.25">
      <c r="A52">
        <v>653.53535353535403</v>
      </c>
      <c r="B52">
        <v>0.15581403951252101</v>
      </c>
      <c r="C52" s="1">
        <v>3.7799170613670702E-5</v>
      </c>
      <c r="D52" s="1"/>
      <c r="E52" s="1">
        <f t="shared" si="0"/>
        <v>26462.02483597114</v>
      </c>
      <c r="F52" s="1">
        <f t="shared" si="1"/>
        <v>3.7790003077944755E-5</v>
      </c>
      <c r="G52" s="1"/>
    </row>
    <row r="53" spans="1:7" x14ac:dyDescent="0.25">
      <c r="A53">
        <v>660.60606060606096</v>
      </c>
      <c r="B53">
        <v>0.15790041136534599</v>
      </c>
      <c r="C53" s="1">
        <v>3.7561553762232597E-5</v>
      </c>
      <c r="D53" s="1"/>
      <c r="E53" s="1">
        <f t="shared" si="0"/>
        <v>26629.299938520697</v>
      </c>
      <c r="F53" s="1">
        <f t="shared" si="1"/>
        <v>3.7552620696327312E-5</v>
      </c>
      <c r="G53" s="1"/>
    </row>
    <row r="54" spans="1:7" x14ac:dyDescent="0.25">
      <c r="A54">
        <v>667.67676767676801</v>
      </c>
      <c r="B54">
        <v>0.159986626979953</v>
      </c>
      <c r="C54" s="1">
        <v>3.7329588926456397E-5</v>
      </c>
      <c r="D54" s="1"/>
      <c r="E54" s="1">
        <f t="shared" si="0"/>
        <v>26794.651594030689</v>
      </c>
      <c r="F54" s="1">
        <f t="shared" si="1"/>
        <v>3.7320880866492773E-5</v>
      </c>
      <c r="G54" s="1"/>
    </row>
    <row r="55" spans="1:7" x14ac:dyDescent="0.25">
      <c r="A55">
        <v>674.74747474747505</v>
      </c>
      <c r="B55">
        <v>0.162072718336709</v>
      </c>
      <c r="C55" s="1">
        <v>3.7102977888539199E-5</v>
      </c>
      <c r="D55" s="1"/>
      <c r="E55" s="1">
        <f t="shared" si="0"/>
        <v>26958.184622582521</v>
      </c>
      <c r="F55" s="1">
        <f t="shared" si="1"/>
        <v>3.7094485923295926E-5</v>
      </c>
      <c r="G55" s="1"/>
    </row>
    <row r="56" spans="1:7" x14ac:dyDescent="0.25">
      <c r="A56">
        <v>681.81818181818198</v>
      </c>
      <c r="B56">
        <v>0.164158710925529</v>
      </c>
      <c r="C56" s="1">
        <v>3.6881439033416001E-5</v>
      </c>
      <c r="D56" s="1"/>
      <c r="E56" s="1">
        <f t="shared" si="0"/>
        <v>27120.001160839278</v>
      </c>
      <c r="F56" s="1">
        <f t="shared" si="1"/>
        <v>3.6873154763871448E-5</v>
      </c>
      <c r="G56" s="1"/>
    </row>
    <row r="57" spans="1:7" x14ac:dyDescent="0.25">
      <c r="A57">
        <v>688.88888888888903</v>
      </c>
      <c r="B57">
        <v>0.16624462504941201</v>
      </c>
      <c r="C57" s="1">
        <v>3.66647071405405E-5</v>
      </c>
      <c r="D57" s="1"/>
      <c r="E57" s="1">
        <f t="shared" si="0"/>
        <v>27280.200081463689</v>
      </c>
      <c r="F57" s="1">
        <f t="shared" si="1"/>
        <v>3.66566226425692E-5</v>
      </c>
      <c r="G57" s="1"/>
    </row>
    <row r="58" spans="1:7" x14ac:dyDescent="0.25">
      <c r="A58">
        <v>695.95959595959596</v>
      </c>
      <c r="B58">
        <v>0.16833047686960501</v>
      </c>
      <c r="C58" s="1">
        <v>3.6452533058469702E-5</v>
      </c>
      <c r="D58" s="1"/>
      <c r="E58" s="1">
        <f t="shared" si="0"/>
        <v>27438.876518449582</v>
      </c>
      <c r="F58" s="1">
        <f t="shared" si="1"/>
        <v>3.644464084845499E-5</v>
      </c>
      <c r="G58" s="1"/>
    </row>
    <row r="59" spans="1:7" x14ac:dyDescent="0.25">
      <c r="A59">
        <v>703.030303030303</v>
      </c>
      <c r="B59">
        <v>0.17041627924273201</v>
      </c>
      <c r="C59" s="1">
        <v>3.6244683280504199E-5</v>
      </c>
      <c r="D59" s="1"/>
      <c r="E59" s="1">
        <f t="shared" si="0"/>
        <v>27596.121491275306</v>
      </c>
      <c r="F59" s="1">
        <f t="shared" si="1"/>
        <v>3.6236976283647563E-5</v>
      </c>
      <c r="G59" s="1"/>
    </row>
    <row r="60" spans="1:7" x14ac:dyDescent="0.25">
      <c r="A60">
        <v>710.10101010101005</v>
      </c>
      <c r="B60">
        <v>0.17250204239065201</v>
      </c>
      <c r="C60" s="1">
        <v>3.6040939438710397E-5</v>
      </c>
      <c r="D60" s="1"/>
      <c r="E60" s="1">
        <f t="shared" si="0"/>
        <v>27752.02162000904</v>
      </c>
      <c r="F60" s="1">
        <f t="shared" si="1"/>
        <v>3.6033410959834582E-5</v>
      </c>
      <c r="G60" s="1"/>
    </row>
    <row r="61" spans="1:7" x14ac:dyDescent="0.25">
      <c r="A61">
        <v>717.17171717171698</v>
      </c>
      <c r="B61">
        <v>0.17458777443597001</v>
      </c>
      <c r="C61" s="1">
        <v>3.5841097732534201E-5</v>
      </c>
      <c r="D61" s="1"/>
      <c r="E61" s="1">
        <f t="shared" si="0"/>
        <v>27906.65892301617</v>
      </c>
      <c r="F61" s="1">
        <f t="shared" si="1"/>
        <v>3.583374142919146E-5</v>
      </c>
      <c r="G61" s="1"/>
    </row>
    <row r="62" spans="1:7" x14ac:dyDescent="0.25">
      <c r="A62">
        <v>724.24242424242402</v>
      </c>
      <c r="B62">
        <v>0.17667348182980899</v>
      </c>
      <c r="C62" s="1">
        <v>3.5644968306946099E-5</v>
      </c>
      <c r="D62" s="1"/>
      <c r="E62" s="1">
        <f t="shared" si="0"/>
        <v>28060.110688711538</v>
      </c>
      <c r="F62" s="1">
        <f t="shared" si="1"/>
        <v>3.5637778164656198E-5</v>
      </c>
      <c r="G62" s="1"/>
    </row>
    <row r="63" spans="1:7" x14ac:dyDescent="0.25">
      <c r="A63">
        <v>731.31313131313095</v>
      </c>
      <c r="B63">
        <v>0.178759169693226</v>
      </c>
      <c r="C63" s="1">
        <v>3.5452374593699997E-5</v>
      </c>
      <c r="D63" s="1"/>
      <c r="E63" s="1">
        <f t="shared" si="0"/>
        <v>28212.44941281424</v>
      </c>
      <c r="F63" s="1">
        <f t="shared" si="1"/>
        <v>3.5445344903154523E-5</v>
      </c>
      <c r="G63" s="1"/>
    </row>
    <row r="64" spans="1:7" x14ac:dyDescent="0.25">
      <c r="A64">
        <v>738.383838383838</v>
      </c>
      <c r="B64">
        <v>0.18084484208950799</v>
      </c>
      <c r="C64" s="1">
        <v>3.5263152627887397E-5</v>
      </c>
      <c r="D64" s="1"/>
      <c r="E64" s="1">
        <f t="shared" si="0"/>
        <v>28363.742792758905</v>
      </c>
      <c r="F64" s="1">
        <f t="shared" si="1"/>
        <v>3.5256277963967933E-5</v>
      </c>
      <c r="G64" s="1"/>
    </row>
    <row r="65" spans="1:7" x14ac:dyDescent="0.25">
      <c r="A65">
        <v>745.45454545454595</v>
      </c>
      <c r="B65">
        <v>0.182930502241202</v>
      </c>
      <c r="C65" s="1">
        <v>3.5077150350560699E-5</v>
      </c>
      <c r="D65" s="1"/>
      <c r="E65" s="1">
        <f t="shared" si="0"/>
        <v>28514.053771259038</v>
      </c>
      <c r="F65" s="1">
        <f t="shared" si="1"/>
        <v>3.5070425553028791E-5</v>
      </c>
      <c r="G65" s="1"/>
    </row>
    <row r="66" spans="1:7" x14ac:dyDescent="0.25">
      <c r="A66">
        <v>752.52525252525299</v>
      </c>
      <c r="B66">
        <v>0.18501615270295799</v>
      </c>
      <c r="C66" s="1">
        <v>3.48942269068199E-5</v>
      </c>
      <c r="D66" s="1"/>
      <c r="E66" s="1">
        <f t="shared" si="0"/>
        <v>28663.440621467005</v>
      </c>
      <c r="F66" s="1">
        <f t="shared" si="1"/>
        <v>3.4887647062546522E-5</v>
      </c>
      <c r="G66" s="1"/>
    </row>
    <row r="67" spans="1:7" x14ac:dyDescent="0.25">
      <c r="A67">
        <v>759.59595959596004</v>
      </c>
      <c r="B67">
        <v>0.18710179549911399</v>
      </c>
      <c r="C67" s="1">
        <v>3.4714251947430902E-5</v>
      </c>
      <c r="D67" s="1"/>
      <c r="E67" s="1">
        <f t="shared" ref="E67:E101" si="2">1/B67+1/C67</f>
        <v>28811.957066700594</v>
      </c>
      <c r="F67" s="1">
        <f t="shared" ref="F67:F101" si="3">1/E67</f>
        <v>3.4707812374042078E-5</v>
      </c>
      <c r="G67" s="1"/>
    </row>
    <row r="68" spans="1:7" x14ac:dyDescent="0.25">
      <c r="A68">
        <v>766.66666666666697</v>
      </c>
      <c r="B68">
        <v>0.18918743223314199</v>
      </c>
      <c r="C68" s="1">
        <v>3.45371049407914E-5</v>
      </c>
      <c r="D68" s="1"/>
      <c r="E68" s="1">
        <f t="shared" si="2"/>
        <v>28959.652428279056</v>
      </c>
      <c r="F68" s="1">
        <f t="shared" si="3"/>
        <v>3.4530801171615632E-5</v>
      </c>
      <c r="G68" s="1"/>
    </row>
    <row r="69" spans="1:7" x14ac:dyDescent="0.25">
      <c r="A69">
        <v>773.73737373737401</v>
      </c>
      <c r="B69">
        <v>0.191273064174656</v>
      </c>
      <c r="C69" s="1">
        <v>3.4362674500892701E-5</v>
      </c>
      <c r="D69" s="1"/>
      <c r="E69" s="1">
        <f t="shared" si="2"/>
        <v>29106.571795612384</v>
      </c>
      <c r="F69" s="1">
        <f t="shared" si="3"/>
        <v>3.4356502271103711E-5</v>
      </c>
      <c r="G69" s="1"/>
    </row>
    <row r="70" spans="1:7" x14ac:dyDescent="0.25">
      <c r="A70">
        <v>780.80808080808094</v>
      </c>
      <c r="B70">
        <v>0.19335869232855801</v>
      </c>
      <c r="C70" s="1">
        <v>3.4190857735858403E-5</v>
      </c>
      <c r="D70" s="1"/>
      <c r="E70" s="1">
        <f t="shared" si="2"/>
        <v>29252.756213290621</v>
      </c>
      <c r="F70" s="1">
        <f t="shared" si="3"/>
        <v>3.4184812969714717E-5</v>
      </c>
      <c r="G70" s="1"/>
    </row>
    <row r="71" spans="1:7" x14ac:dyDescent="0.25">
      <c r="A71">
        <v>787.87878787878799</v>
      </c>
      <c r="B71">
        <v>0.19544431748994201</v>
      </c>
      <c r="C71" s="1">
        <v>3.4021559620670101E-5</v>
      </c>
      <c r="D71" s="1"/>
      <c r="E71" s="1">
        <f t="shared" si="2"/>
        <v>29398.242880518195</v>
      </c>
      <c r="F71" s="1">
        <f t="shared" si="3"/>
        <v>3.401563841976032E-5</v>
      </c>
      <c r="G71" s="1"/>
    </row>
    <row r="72" spans="1:7" x14ac:dyDescent="0.25">
      <c r="A72">
        <v>794.94949494949503</v>
      </c>
      <c r="B72">
        <v>0.197529940287687</v>
      </c>
      <c r="C72" s="1">
        <v>3.38546923968246E-5</v>
      </c>
      <c r="D72" s="1"/>
      <c r="E72" s="1">
        <f t="shared" si="2"/>
        <v>29543.06535881307</v>
      </c>
      <c r="F72" s="1">
        <f t="shared" si="3"/>
        <v>3.3848891029233949E-5</v>
      </c>
      <c r="G72" s="1"/>
    </row>
    <row r="73" spans="1:7" x14ac:dyDescent="0.25">
      <c r="A73">
        <v>802.02020202020196</v>
      </c>
      <c r="B73">
        <v>0.19961556121903901</v>
      </c>
      <c r="C73" s="1">
        <v>3.3690175000904899E-5</v>
      </c>
      <c r="D73" s="1"/>
      <c r="E73" s="1">
        <f t="shared" si="2"/>
        <v>29687.25378443364</v>
      </c>
      <c r="F73" s="1">
        <f t="shared" si="3"/>
        <v>3.3684489891225471E-5</v>
      </c>
      <c r="G73" s="1"/>
    </row>
    <row r="74" spans="1:7" x14ac:dyDescent="0.25">
      <c r="A74">
        <v>809.09090909090901</v>
      </c>
      <c r="B74">
        <v>0.20170118067703999</v>
      </c>
      <c r="C74" s="1">
        <v>3.3527932523374599E-5</v>
      </c>
      <c r="D74" s="1"/>
      <c r="E74" s="1">
        <f t="shared" si="2"/>
        <v>29830.83508251093</v>
      </c>
      <c r="F74" s="1">
        <f t="shared" si="3"/>
        <v>3.3522360243487617E-5</v>
      </c>
      <c r="G74" s="1"/>
    </row>
    <row r="75" spans="1:7" x14ac:dyDescent="0.25">
      <c r="A75">
        <v>816.16161616161605</v>
      </c>
      <c r="B75">
        <v>0.20378679897226701</v>
      </c>
      <c r="C75" s="1">
        <v>3.3367895698338301E-5</v>
      </c>
      <c r="D75" s="1"/>
      <c r="E75" s="1">
        <f t="shared" si="2"/>
        <v>29973.833180327281</v>
      </c>
      <c r="F75" s="1">
        <f t="shared" si="3"/>
        <v>3.3362432958902627E-5</v>
      </c>
      <c r="G75" s="1"/>
    </row>
    <row r="76" spans="1:7" x14ac:dyDescent="0.25">
      <c r="A76">
        <v>823.23232323232298</v>
      </c>
      <c r="B76">
        <v>0.20587241635006301</v>
      </c>
      <c r="C76" s="1">
        <v>3.3210000424514301E-5</v>
      </c>
      <c r="D76" s="1"/>
      <c r="E76" s="1">
        <f t="shared" si="2"/>
        <v>30116.269217618355</v>
      </c>
      <c r="F76" s="1">
        <f t="shared" si="3"/>
        <v>3.3204644067100741E-5</v>
      </c>
      <c r="G76" s="1"/>
    </row>
    <row r="77" spans="1:7" x14ac:dyDescent="0.25">
      <c r="A77">
        <v>830.30303030303003</v>
      </c>
      <c r="B77">
        <v>0.207958033004185</v>
      </c>
      <c r="C77" s="1">
        <v>3.3054187317266298E-5</v>
      </c>
      <c r="D77" s="1"/>
      <c r="E77" s="1">
        <f t="shared" si="2"/>
        <v>30258.161752153796</v>
      </c>
      <c r="F77" s="1">
        <f t="shared" si="3"/>
        <v>3.3048934307082269E-5</v>
      </c>
      <c r="G77" s="1"/>
    </row>
    <row r="78" spans="1:7" x14ac:dyDescent="0.25">
      <c r="A78">
        <v>837.37373737373696</v>
      </c>
      <c r="B78">
        <v>0.21004364908760401</v>
      </c>
      <c r="C78" s="1">
        <v>3.2900401291195803E-5</v>
      </c>
      <c r="D78" s="1"/>
      <c r="E78" s="1">
        <f t="shared" si="2"/>
        <v>30399.526959204155</v>
      </c>
      <c r="F78" s="1">
        <f t="shared" si="3"/>
        <v>3.2895248710349654E-5</v>
      </c>
      <c r="G78" s="1"/>
    </row>
    <row r="79" spans="1:7" x14ac:dyDescent="0.25">
      <c r="A79">
        <v>844.44444444444503</v>
      </c>
      <c r="B79">
        <v>0.212129264721063</v>
      </c>
      <c r="C79" s="1">
        <v>3.2748591172533397E-5</v>
      </c>
      <c r="D79" s="1"/>
      <c r="E79" s="1">
        <f t="shared" si="2"/>
        <v>30540.378823799343</v>
      </c>
      <c r="F79" s="1">
        <f t="shared" si="3"/>
        <v>3.2743536213791998E-5</v>
      </c>
      <c r="G79" s="1"/>
    </row>
    <row r="80" spans="1:7" x14ac:dyDescent="0.25">
      <c r="A80">
        <v>851.51515151515196</v>
      </c>
      <c r="B80">
        <v>0.21421487999983699</v>
      </c>
      <c r="C80" s="1">
        <v>3.2598709340345998E-5</v>
      </c>
      <c r="D80" s="1"/>
      <c r="E80" s="1">
        <f t="shared" si="2"/>
        <v>30680.729324956512</v>
      </c>
      <c r="F80" s="1">
        <f t="shared" si="3"/>
        <v>3.2593749301343165E-5</v>
      </c>
      <c r="G80" s="1"/>
    </row>
    <row r="81" spans="1:7" x14ac:dyDescent="0.25">
      <c r="A81">
        <v>858.585858585859</v>
      </c>
      <c r="B81">
        <v>0.21630049499909099</v>
      </c>
      <c r="C81" s="1">
        <v>3.2450711395420297E-5</v>
      </c>
      <c r="D81" s="1"/>
      <c r="E81" s="1">
        <f t="shared" si="2"/>
        <v>30820.588611280455</v>
      </c>
      <c r="F81" s="1">
        <f t="shared" si="3"/>
        <v>3.2445843673277417E-5</v>
      </c>
      <c r="G81" s="1"/>
    </row>
    <row r="82" spans="1:7" x14ac:dyDescent="0.25">
      <c r="A82">
        <v>865.65656565656604</v>
      </c>
      <c r="B82">
        <v>0.21838610977810699</v>
      </c>
      <c r="C82" s="1">
        <v>3.2304555855556903E-5</v>
      </c>
      <c r="D82" s="1"/>
      <c r="E82" s="1">
        <f t="shared" si="2"/>
        <v>30959.965167543185</v>
      </c>
      <c r="F82" s="1">
        <f t="shared" si="3"/>
        <v>3.2299777941880501E-5</v>
      </c>
      <c r="G82" s="1"/>
    </row>
    <row r="83" spans="1:7" x14ac:dyDescent="0.25">
      <c r="A83">
        <v>872.72727272727298</v>
      </c>
      <c r="B83">
        <v>0.22047172438363</v>
      </c>
      <c r="C83" s="1">
        <v>3.2160203875931501E-5</v>
      </c>
      <c r="D83" s="1"/>
      <c r="E83" s="1">
        <f t="shared" si="2"/>
        <v>31098.86597201422</v>
      </c>
      <c r="F83" s="1">
        <f t="shared" si="3"/>
        <v>3.2155513352155577E-5</v>
      </c>
      <c r="G83" s="1"/>
    </row>
    <row r="84" spans="1:7" x14ac:dyDescent="0.25">
      <c r="A84">
        <v>879.79797979798002</v>
      </c>
      <c r="B84">
        <v>0.22255733885251</v>
      </c>
      <c r="C84" s="1">
        <v>3.2017618993127597E-5</v>
      </c>
      <c r="D84" s="1"/>
      <c r="E84" s="1">
        <f t="shared" si="2"/>
        <v>31237.296644455866</v>
      </c>
      <c r="F84" s="1">
        <f t="shared" si="3"/>
        <v>3.201301352617159E-5</v>
      </c>
      <c r="G84" s="1"/>
    </row>
    <row r="85" spans="1:7" x14ac:dyDescent="0.25">
      <c r="A85">
        <v>886.86868686868695</v>
      </c>
      <c r="B85">
        <v>0.22464295321379299</v>
      </c>
      <c r="C85" s="1">
        <v>3.1876766891421702E-5</v>
      </c>
      <c r="D85" s="1"/>
      <c r="E85" s="1">
        <f t="shared" si="2"/>
        <v>31375.261584815515</v>
      </c>
      <c r="F85" s="1">
        <f t="shared" si="3"/>
        <v>3.1872244229637391E-5</v>
      </c>
      <c r="G85" s="1"/>
    </row>
    <row r="86" spans="1:7" x14ac:dyDescent="0.25">
      <c r="A86">
        <v>893.93939393939399</v>
      </c>
      <c r="B86">
        <v>0.22672856749036499</v>
      </c>
      <c r="C86" s="1">
        <v>3.1737615189901202E-5</v>
      </c>
      <c r="D86" s="1"/>
      <c r="E86" s="1">
        <f t="shared" si="2"/>
        <v>31512.764102742156</v>
      </c>
      <c r="F86" s="1">
        <f t="shared" si="3"/>
        <v>3.1733173159284453E-5</v>
      </c>
      <c r="G86" s="1"/>
    </row>
    <row r="87" spans="1:7" x14ac:dyDescent="0.25">
      <c r="A87">
        <v>901.01010101010104</v>
      </c>
      <c r="B87">
        <v>0.228814181700257</v>
      </c>
      <c r="C87" s="1">
        <v>3.1600133249010698E-5</v>
      </c>
      <c r="D87" s="1"/>
      <c r="E87" s="1">
        <f t="shared" si="2"/>
        <v>31649.806538132765</v>
      </c>
      <c r="F87" s="1">
        <f t="shared" si="3"/>
        <v>3.1595769749656002E-5</v>
      </c>
      <c r="G87" s="1"/>
    </row>
    <row r="88" spans="1:7" x14ac:dyDescent="0.25">
      <c r="A88">
        <v>908.08080808080797</v>
      </c>
      <c r="B88">
        <v>0.23089979585767201</v>
      </c>
      <c r="C88" s="1">
        <v>3.14642919951542E-5</v>
      </c>
      <c r="D88" s="1"/>
      <c r="E88" s="1">
        <f t="shared" si="2"/>
        <v>31786.39037297454</v>
      </c>
      <c r="F88" s="1">
        <f t="shared" si="3"/>
        <v>3.1460004997932109E-5</v>
      </c>
      <c r="G88" s="1"/>
    </row>
    <row r="89" spans="1:7" x14ac:dyDescent="0.25">
      <c r="A89">
        <v>915.15151515151501</v>
      </c>
      <c r="B89">
        <v>0.23298540997379499</v>
      </c>
      <c r="C89" s="1">
        <v>3.1330063762022998E-5</v>
      </c>
      <c r="D89" s="1"/>
      <c r="E89" s="1">
        <f t="shared" si="2"/>
        <v>31922.516334795691</v>
      </c>
      <c r="F89" s="1">
        <f t="shared" si="3"/>
        <v>3.1325851305462263E-5</v>
      </c>
      <c r="G89" s="1"/>
    </row>
    <row r="90" spans="1:7" x14ac:dyDescent="0.25">
      <c r="A90">
        <v>922.22222222222194</v>
      </c>
      <c r="B90">
        <v>0.23507102405743199</v>
      </c>
      <c r="C90" s="1">
        <v>3.1197422147369402E-5</v>
      </c>
      <c r="D90" s="1"/>
      <c r="E90" s="1">
        <f t="shared" si="2"/>
        <v>32058.184492072585</v>
      </c>
      <c r="F90" s="1">
        <f t="shared" si="3"/>
        <v>3.1193282334727413E-5</v>
      </c>
      <c r="G90" s="1"/>
    </row>
    <row r="91" spans="1:7" x14ac:dyDescent="0.25">
      <c r="A91">
        <v>929.29292929292899</v>
      </c>
      <c r="B91">
        <v>0.23715663811551499</v>
      </c>
      <c r="C91" s="1">
        <v>3.1066341884003601E-5</v>
      </c>
      <c r="D91" s="1"/>
      <c r="E91" s="1">
        <f t="shared" si="2"/>
        <v>32193.394341965435</v>
      </c>
      <c r="F91" s="1">
        <f t="shared" si="3"/>
        <v>3.1062272880510094E-5</v>
      </c>
      <c r="G91" s="1"/>
    </row>
    <row r="92" spans="1:7" x14ac:dyDescent="0.25">
      <c r="A92">
        <v>936.36363636363603</v>
      </c>
      <c r="B92">
        <v>0.23924225215350101</v>
      </c>
      <c r="C92" s="1">
        <v>3.0936798723852001E-5</v>
      </c>
      <c r="D92" s="1"/>
      <c r="E92" s="1">
        <f t="shared" si="2"/>
        <v>32328.14489077068</v>
      </c>
      <c r="F92" s="1">
        <f t="shared" si="3"/>
        <v>3.0932798754112509E-5</v>
      </c>
      <c r="G92" s="1"/>
    </row>
    <row r="93" spans="1:7" x14ac:dyDescent="0.25">
      <c r="A93">
        <v>943.43434343434296</v>
      </c>
      <c r="B93">
        <v>0.241327866175683</v>
      </c>
      <c r="C93" s="1">
        <v>3.0808769333980799E-5</v>
      </c>
      <c r="D93" s="1"/>
      <c r="E93" s="1">
        <f t="shared" si="2"/>
        <v>32462.434727485132</v>
      </c>
      <c r="F93" s="1">
        <f t="shared" si="3"/>
        <v>3.0804836679527458E-5</v>
      </c>
      <c r="G93" s="1"/>
    </row>
    <row r="94" spans="1:7" x14ac:dyDescent="0.25">
      <c r="A94">
        <v>950.50505050505103</v>
      </c>
      <c r="B94">
        <v>0.24341348018544101</v>
      </c>
      <c r="C94" s="1">
        <v>3.0682231203550603E-5</v>
      </c>
      <c r="D94" s="1"/>
      <c r="E94" s="1">
        <f t="shared" si="2"/>
        <v>32596.26209088269</v>
      </c>
      <c r="F94" s="1">
        <f t="shared" si="3"/>
        <v>3.0678364200529117E-5</v>
      </c>
      <c r="G94" s="1"/>
    </row>
    <row r="95" spans="1:7" x14ac:dyDescent="0.25">
      <c r="A95">
        <v>957.57575757575796</v>
      </c>
      <c r="B95">
        <v>0.24549909418543001</v>
      </c>
      <c r="C95" s="1">
        <v>3.0557162560737202E-5</v>
      </c>
      <c r="D95" s="1"/>
      <c r="E95" s="1">
        <f t="shared" si="2"/>
        <v>32729.624930498041</v>
      </c>
      <c r="F95" s="1">
        <f t="shared" si="3"/>
        <v>3.0553359597719756E-5</v>
      </c>
      <c r="G95" s="1"/>
    </row>
    <row r="96" spans="1:7" x14ac:dyDescent="0.25">
      <c r="A96">
        <v>964.64646464646501</v>
      </c>
      <c r="B96">
        <v>0.247584708177743</v>
      </c>
      <c r="C96" s="1">
        <v>3.0433542298716398E-5</v>
      </c>
      <c r="D96" s="1"/>
      <c r="E96" s="1">
        <f t="shared" si="2"/>
        <v>32862.520961907168</v>
      </c>
      <c r="F96" s="1">
        <f t="shared" si="3"/>
        <v>3.0429801814631244E-5</v>
      </c>
      <c r="G96" s="1"/>
    </row>
    <row r="97" spans="1:7" x14ac:dyDescent="0.25">
      <c r="A97">
        <v>971.71717171717205</v>
      </c>
      <c r="B97">
        <v>0.24967032216402199</v>
      </c>
      <c r="C97" s="1">
        <v>3.0311349909871801E-5</v>
      </c>
      <c r="D97" s="1"/>
      <c r="E97" s="1">
        <f t="shared" si="2"/>
        <v>32994.947716687733</v>
      </c>
      <c r="F97" s="1">
        <f t="shared" si="3"/>
        <v>3.0307670392041074E-5</v>
      </c>
      <c r="G97" s="1"/>
    </row>
    <row r="98" spans="1:7" x14ac:dyDescent="0.25">
      <c r="A98">
        <v>978.78787878787898</v>
      </c>
      <c r="B98">
        <v>0.25175593614556102</v>
      </c>
      <c r="C98" s="1">
        <v>3.0190565427452202E-5</v>
      </c>
      <c r="D98" s="1"/>
      <c r="E98" s="1">
        <f t="shared" si="2"/>
        <v>33126.902587423312</v>
      </c>
      <c r="F98" s="1">
        <f t="shared" si="3"/>
        <v>3.0186945409730271E-5</v>
      </c>
      <c r="G98" s="1"/>
    </row>
    <row r="99" spans="1:7" x14ac:dyDescent="0.25">
      <c r="A99">
        <v>985.85858585858603</v>
      </c>
      <c r="B99">
        <v>0.253841550123375</v>
      </c>
      <c r="C99" s="1">
        <v>3.0071169373955901E-5</v>
      </c>
      <c r="D99" s="1"/>
      <c r="E99" s="1">
        <f t="shared" si="2"/>
        <v>33258.382868110923</v>
      </c>
      <c r="F99" s="1">
        <f t="shared" si="3"/>
        <v>3.0067607434961253E-5</v>
      </c>
      <c r="G99" s="1"/>
    </row>
    <row r="100" spans="1:7" x14ac:dyDescent="0.25">
      <c r="A100">
        <v>992.92929292929296</v>
      </c>
      <c r="B100">
        <v>0.25592716409826199</v>
      </c>
      <c r="C100" s="1">
        <v>2.9953142715583999E-5</v>
      </c>
      <c r="D100" s="1"/>
      <c r="E100" s="1">
        <f t="shared" si="2"/>
        <v>33389.385790307068</v>
      </c>
      <c r="F100" s="1">
        <f t="shared" si="3"/>
        <v>2.9949637477018215E-5</v>
      </c>
      <c r="G100" s="1"/>
    </row>
    <row r="101" spans="1:7" x14ac:dyDescent="0.25">
      <c r="A101">
        <v>1000</v>
      </c>
      <c r="B101">
        <v>0.25801277807085199</v>
      </c>
      <c r="C101" s="1">
        <v>2.9836466822150899E-5</v>
      </c>
      <c r="D101" s="1"/>
      <c r="E101" s="1">
        <f t="shared" si="2"/>
        <v>33519.908555339425</v>
      </c>
      <c r="F101" s="1">
        <f t="shared" si="3"/>
        <v>2.9833016947198945E-5</v>
      </c>
      <c r="G10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LCOktot</vt:lpstr>
      <vt:lpstr>LCOk</vt:lpstr>
      <vt:lpstr>LCOGth</vt:lpstr>
      <vt:lpstr>LCOGthInterp</vt:lpstr>
      <vt:lpstr>LAlO3Gth</vt:lpstr>
      <vt:lpstr>LAlO3</vt:lpstr>
      <vt:lpstr>LAlO3GthInterp</vt:lpstr>
      <vt:lpstr>TotalGth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2024-03-15T18:30:48Z</dcterms:created>
  <dcterms:modified xsi:type="dcterms:W3CDTF">2024-03-18T17:38:04Z</dcterms:modified>
</cp:coreProperties>
</file>