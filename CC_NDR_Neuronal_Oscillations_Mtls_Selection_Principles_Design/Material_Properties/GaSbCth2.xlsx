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C20445D3-B71D-4C8F-8EE2-22ECD0390608}" xr6:coauthVersionLast="36" xr6:coauthVersionMax="36" xr10:uidLastSave="{00000000-0000-0000-0000-000000000000}"/>
  <bookViews>
    <workbookView xWindow="0" yWindow="0" windowWidth="28800" windowHeight="14025"/>
  </bookViews>
  <sheets>
    <sheet name="Sheet1" sheetId="2" r:id="rId1"/>
    <sheet name="GaSbCth (1)" sheetId="1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2" i="1"/>
  <c r="F4" i="1"/>
  <c r="F3" i="1"/>
</calcChain>
</file>

<file path=xl/sharedStrings.xml><?xml version="1.0" encoding="utf-8"?>
<sst xmlns="http://schemas.openxmlformats.org/spreadsheetml/2006/main" count="7" uniqueCount="5">
  <si>
    <t>T (K)</t>
  </si>
  <si>
    <t>Cp (J/molK)</t>
  </si>
  <si>
    <t>Cth (J/m^3K)</t>
  </si>
  <si>
    <t xml:space="preserve">Density </t>
  </si>
  <si>
    <t>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</si>
</sst>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activeCell="F32" sqref="F32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52.550415183867102</v>
      </c>
      <c r="B2">
        <v>553570.79180240678</v>
      </c>
    </row>
    <row r="3" spans="1:2" x14ac:dyDescent="0.25">
      <c r="A3">
        <v>55.8718861209964</v>
      </c>
      <c r="B3">
        <v>578887.28696298611</v>
      </c>
    </row>
    <row r="4" spans="1:2" x14ac:dyDescent="0.25">
      <c r="A4">
        <v>57.769869513641702</v>
      </c>
      <c r="B4">
        <v>609963.80027920008</v>
      </c>
    </row>
    <row r="5" spans="1:2" x14ac:dyDescent="0.25">
      <c r="A5">
        <v>60.616844602609703</v>
      </c>
      <c r="B5">
        <v>649095.87241478416</v>
      </c>
    </row>
    <row r="6" spans="1:2" x14ac:dyDescent="0.25">
      <c r="A6">
        <v>63.463819691577697</v>
      </c>
      <c r="B6">
        <v>670960.18030711997</v>
      </c>
    </row>
    <row r="7" spans="1:2" x14ac:dyDescent="0.25">
      <c r="A7">
        <v>65.361803084222998</v>
      </c>
      <c r="B7">
        <v>698583.14077468705</v>
      </c>
    </row>
    <row r="8" spans="1:2" x14ac:dyDescent="0.25">
      <c r="A8">
        <v>67.734282325029596</v>
      </c>
      <c r="B8">
        <v>719297.62996454583</v>
      </c>
    </row>
    <row r="9" spans="1:2" x14ac:dyDescent="0.25">
      <c r="A9">
        <v>70.581257413997506</v>
      </c>
      <c r="B9">
        <v>749220.22783706419</v>
      </c>
    </row>
    <row r="10" spans="1:2" x14ac:dyDescent="0.25">
      <c r="A10">
        <v>81.4946619217082</v>
      </c>
      <c r="B10">
        <v>832074.08785528957</v>
      </c>
    </row>
    <row r="11" spans="1:2" x14ac:dyDescent="0.25">
      <c r="A11">
        <v>87.188612099644004</v>
      </c>
      <c r="B11">
        <v>896524.02073185926</v>
      </c>
    </row>
    <row r="12" spans="1:2" x14ac:dyDescent="0.25">
      <c r="A12">
        <v>92.408066429418696</v>
      </c>
      <c r="B12">
        <v>937951.63353117346</v>
      </c>
    </row>
    <row r="13" spans="1:2" x14ac:dyDescent="0.25">
      <c r="A13">
        <v>102.372479240806</v>
      </c>
      <c r="B13">
        <v>1009296.3818813817</v>
      </c>
    </row>
    <row r="14" spans="1:2" x14ac:dyDescent="0.25">
      <c r="A14">
        <v>116.607354685646</v>
      </c>
      <c r="B14">
        <v>1089838.314270989</v>
      </c>
    </row>
    <row r="15" spans="1:2" x14ac:dyDescent="0.25">
      <c r="A15">
        <v>126.571767497034</v>
      </c>
      <c r="B15">
        <v>1139310.5612464191</v>
      </c>
    </row>
    <row r="16" spans="1:2" x14ac:dyDescent="0.25">
      <c r="A16">
        <v>145.551601423487</v>
      </c>
      <c r="B16">
        <v>1215234.1007004299</v>
      </c>
    </row>
    <row r="17" spans="1:2" x14ac:dyDescent="0.25">
      <c r="A17">
        <v>152.66903914590699</v>
      </c>
      <c r="B17">
        <v>1230179.0126718085</v>
      </c>
    </row>
    <row r="18" spans="1:2" x14ac:dyDescent="0.25">
      <c r="A18">
        <v>165.480427046263</v>
      </c>
      <c r="B18">
        <v>1265828.8547702001</v>
      </c>
    </row>
    <row r="19" spans="1:2" x14ac:dyDescent="0.25">
      <c r="A19">
        <v>195.37366548042701</v>
      </c>
      <c r="B19">
        <v>1325604.4059144938</v>
      </c>
    </row>
    <row r="20" spans="1:2" x14ac:dyDescent="0.25">
      <c r="A20">
        <v>223.368920521945</v>
      </c>
      <c r="B20">
        <v>1364664.1022885197</v>
      </c>
    </row>
    <row r="21" spans="1:2" x14ac:dyDescent="0.25">
      <c r="A21">
        <v>248.99169632265699</v>
      </c>
      <c r="B21">
        <v>1391067.5994528662</v>
      </c>
    </row>
    <row r="22" spans="1:2" x14ac:dyDescent="0.25">
      <c r="A22">
        <v>287.90035587188601</v>
      </c>
      <c r="B22">
        <v>1422037.5974973545</v>
      </c>
    </row>
    <row r="23" spans="1:2" x14ac:dyDescent="0.25">
      <c r="A23">
        <v>350.533807829181</v>
      </c>
      <c r="B23">
        <v>1457544.0536530386</v>
      </c>
    </row>
    <row r="24" spans="1:2" x14ac:dyDescent="0.25">
      <c r="A24">
        <v>399.881376037959</v>
      </c>
      <c r="B24">
        <v>1479274.5346655149</v>
      </c>
    </row>
    <row r="25" spans="1:2" x14ac:dyDescent="0.25">
      <c r="A25">
        <v>451.12692763938298</v>
      </c>
      <c r="B25">
        <v>1499848.3690734813</v>
      </c>
    </row>
    <row r="26" spans="1:2" x14ac:dyDescent="0.25">
      <c r="A26">
        <v>500</v>
      </c>
      <c r="B26">
        <v>1519277.8471005973</v>
      </c>
    </row>
    <row r="27" spans="1:2" x14ac:dyDescent="0.25">
      <c r="A27">
        <v>601.06761565836302</v>
      </c>
      <c r="B27">
        <v>1552371.3226775711</v>
      </c>
    </row>
    <row r="28" spans="1:2" x14ac:dyDescent="0.25">
      <c r="A28">
        <v>700.71174377224202</v>
      </c>
      <c r="B28">
        <v>1587771.2635615298</v>
      </c>
    </row>
    <row r="29" spans="1:2" x14ac:dyDescent="0.25">
      <c r="A29">
        <v>899.52550415183805</v>
      </c>
      <c r="B29">
        <v>1668933.169455799</v>
      </c>
    </row>
    <row r="30" spans="1:2" x14ac:dyDescent="0.25">
      <c r="A30">
        <v>989.67971530249099</v>
      </c>
      <c r="B30">
        <v>1708965.1590794243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sqref="A1:A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>
        <v>52.550415183867102</v>
      </c>
      <c r="B2">
        <v>18.894722981586501</v>
      </c>
      <c r="C2">
        <f>B2*$F$3/$F$4</f>
        <v>553570.79180240678</v>
      </c>
    </row>
    <row r="3" spans="1:6" x14ac:dyDescent="0.25">
      <c r="A3">
        <v>55.8718861209964</v>
      </c>
      <c r="B3">
        <v>19.758836786013099</v>
      </c>
      <c r="C3">
        <f t="shared" ref="C3:C30" si="0">B3*$F$3/$F$4</f>
        <v>578887.28696298611</v>
      </c>
      <c r="E3" t="s">
        <v>3</v>
      </c>
      <c r="F3">
        <f>5.61*10^6</f>
        <v>5610000</v>
      </c>
    </row>
    <row r="4" spans="1:6" x14ac:dyDescent="0.25">
      <c r="A4">
        <v>57.769869513641702</v>
      </c>
      <c r="B4">
        <v>20.819554076446</v>
      </c>
      <c r="C4">
        <f t="shared" si="0"/>
        <v>609963.80027920008</v>
      </c>
      <c r="E4" t="s">
        <v>4</v>
      </c>
      <c r="F4">
        <f>191.483</f>
        <v>191.483</v>
      </c>
    </row>
    <row r="5" spans="1:6" x14ac:dyDescent="0.25">
      <c r="A5">
        <v>60.616844602609703</v>
      </c>
      <c r="B5">
        <v>22.155227261604299</v>
      </c>
      <c r="C5">
        <f t="shared" si="0"/>
        <v>649095.87241478416</v>
      </c>
    </row>
    <row r="6" spans="1:6" x14ac:dyDescent="0.25">
      <c r="A6">
        <v>63.463819691577697</v>
      </c>
      <c r="B6">
        <v>22.901509484090599</v>
      </c>
      <c r="C6">
        <f t="shared" si="0"/>
        <v>670960.18030711997</v>
      </c>
    </row>
    <row r="7" spans="1:6" x14ac:dyDescent="0.25">
      <c r="A7">
        <v>65.361803084222998</v>
      </c>
      <c r="B7">
        <v>23.844348581989198</v>
      </c>
      <c r="C7">
        <f t="shared" si="0"/>
        <v>698583.14077468705</v>
      </c>
    </row>
    <row r="8" spans="1:6" x14ac:dyDescent="0.25">
      <c r="A8">
        <v>67.734282325029596</v>
      </c>
      <c r="B8">
        <v>24.5513846842248</v>
      </c>
      <c r="C8">
        <f t="shared" si="0"/>
        <v>719297.62996454583</v>
      </c>
    </row>
    <row r="9" spans="1:6" x14ac:dyDescent="0.25">
      <c r="A9">
        <v>70.581257413997506</v>
      </c>
      <c r="B9">
        <v>25.5727160226247</v>
      </c>
      <c r="C9">
        <f t="shared" si="0"/>
        <v>749220.22783706419</v>
      </c>
    </row>
    <row r="10" spans="1:6" x14ac:dyDescent="0.25">
      <c r="A10">
        <v>81.4946619217082</v>
      </c>
      <c r="B10">
        <v>28.4007205997851</v>
      </c>
      <c r="C10">
        <f t="shared" si="0"/>
        <v>832074.08785528957</v>
      </c>
    </row>
    <row r="11" spans="1:6" x14ac:dyDescent="0.25">
      <c r="A11">
        <v>87.188612099644004</v>
      </c>
      <c r="B11">
        <v>30.600554199964101</v>
      </c>
      <c r="C11">
        <f t="shared" si="0"/>
        <v>896524.02073185926</v>
      </c>
    </row>
    <row r="12" spans="1:6" x14ac:dyDescent="0.25">
      <c r="A12">
        <v>92.408066429418696</v>
      </c>
      <c r="B12">
        <v>32.0145797938413</v>
      </c>
      <c r="C12">
        <f t="shared" si="0"/>
        <v>937951.63353117346</v>
      </c>
    </row>
    <row r="13" spans="1:6" x14ac:dyDescent="0.25">
      <c r="A13">
        <v>102.372479240806</v>
      </c>
      <c r="B13">
        <v>34.449750283741999</v>
      </c>
      <c r="C13">
        <f t="shared" si="0"/>
        <v>1009296.3818813817</v>
      </c>
    </row>
    <row r="14" spans="1:6" x14ac:dyDescent="0.25">
      <c r="A14">
        <v>116.607354685646</v>
      </c>
      <c r="B14">
        <v>37.198843125053799</v>
      </c>
      <c r="C14">
        <f t="shared" si="0"/>
        <v>1089838.314270989</v>
      </c>
    </row>
    <row r="15" spans="1:6" x14ac:dyDescent="0.25">
      <c r="A15">
        <v>126.571767497034</v>
      </c>
      <c r="B15">
        <v>38.8874517289034</v>
      </c>
      <c r="C15">
        <f t="shared" si="0"/>
        <v>1139310.5612464191</v>
      </c>
    </row>
    <row r="16" spans="1:6" x14ac:dyDescent="0.25">
      <c r="A16">
        <v>145.551601423487</v>
      </c>
      <c r="B16">
        <v>41.478907540894902</v>
      </c>
      <c r="C16">
        <f t="shared" si="0"/>
        <v>1215234.1007004299</v>
      </c>
    </row>
    <row r="17" spans="1:3" x14ac:dyDescent="0.25">
      <c r="A17">
        <v>152.66903914590699</v>
      </c>
      <c r="B17">
        <v>41.989013882965402</v>
      </c>
      <c r="C17">
        <f t="shared" si="0"/>
        <v>1230179.0126718085</v>
      </c>
    </row>
    <row r="18" spans="1:3" x14ac:dyDescent="0.25">
      <c r="A18">
        <v>165.480427046263</v>
      </c>
      <c r="B18">
        <v>43.205830053112699</v>
      </c>
      <c r="C18">
        <f t="shared" si="0"/>
        <v>1265828.8547702001</v>
      </c>
    </row>
    <row r="19" spans="1:3" x14ac:dyDescent="0.25">
      <c r="A19">
        <v>195.37366548042701</v>
      </c>
      <c r="B19">
        <v>45.246115589612302</v>
      </c>
      <c r="C19">
        <f t="shared" si="0"/>
        <v>1325604.4059144938</v>
      </c>
    </row>
    <row r="20" spans="1:3" x14ac:dyDescent="0.25">
      <c r="A20">
        <v>223.368920521945</v>
      </c>
      <c r="B20">
        <v>46.579318413282103</v>
      </c>
      <c r="C20">
        <f t="shared" si="0"/>
        <v>1364664.1022885197</v>
      </c>
    </row>
    <row r="21" spans="1:3" x14ac:dyDescent="0.25">
      <c r="A21">
        <v>248.99169632265699</v>
      </c>
      <c r="B21">
        <v>47.480534250629802</v>
      </c>
      <c r="C21">
        <f t="shared" si="0"/>
        <v>1391067.5994528662</v>
      </c>
    </row>
    <row r="22" spans="1:3" x14ac:dyDescent="0.25">
      <c r="A22">
        <v>287.90035587188601</v>
      </c>
      <c r="B22">
        <v>48.537615914721201</v>
      </c>
      <c r="C22">
        <f t="shared" si="0"/>
        <v>1422037.5974973545</v>
      </c>
    </row>
    <row r="23" spans="1:3" x14ac:dyDescent="0.25">
      <c r="A23">
        <v>350.533807829181</v>
      </c>
      <c r="B23">
        <v>49.749537972485697</v>
      </c>
      <c r="C23">
        <f t="shared" si="0"/>
        <v>1457544.0536530386</v>
      </c>
    </row>
    <row r="24" spans="1:3" x14ac:dyDescent="0.25">
      <c r="A24">
        <v>399.881376037959</v>
      </c>
      <c r="B24">
        <v>50.491252356748099</v>
      </c>
      <c r="C24">
        <f t="shared" si="0"/>
        <v>1479274.5346655149</v>
      </c>
    </row>
    <row r="25" spans="1:3" x14ac:dyDescent="0.25">
      <c r="A25">
        <v>451.12692763938298</v>
      </c>
      <c r="B25">
        <v>51.193487567789198</v>
      </c>
      <c r="C25">
        <f t="shared" si="0"/>
        <v>1499848.3690734813</v>
      </c>
    </row>
    <row r="26" spans="1:3" x14ac:dyDescent="0.25">
      <c r="A26">
        <v>500</v>
      </c>
      <c r="B26">
        <v>51.856663100956098</v>
      </c>
      <c r="C26">
        <f t="shared" si="0"/>
        <v>1519277.8471005973</v>
      </c>
    </row>
    <row r="27" spans="1:3" x14ac:dyDescent="0.25">
      <c r="A27">
        <v>601.06761565836302</v>
      </c>
      <c r="B27">
        <v>52.986224238907198</v>
      </c>
      <c r="C27">
        <f t="shared" si="0"/>
        <v>1552371.3226775711</v>
      </c>
    </row>
    <row r="28" spans="1:3" x14ac:dyDescent="0.25">
      <c r="A28">
        <v>700.71174377224202</v>
      </c>
      <c r="B28">
        <v>54.194510670330203</v>
      </c>
      <c r="C28">
        <f t="shared" si="0"/>
        <v>1587771.2635615298</v>
      </c>
    </row>
    <row r="29" spans="1:3" x14ac:dyDescent="0.25">
      <c r="A29">
        <v>899.52550415183805</v>
      </c>
      <c r="B29">
        <v>56.964764721373399</v>
      </c>
      <c r="C29">
        <f t="shared" si="0"/>
        <v>1668933.169455799</v>
      </c>
    </row>
    <row r="30" spans="1:3" x14ac:dyDescent="0.25">
      <c r="A30">
        <v>989.67971530249099</v>
      </c>
      <c r="B30">
        <v>58.331154288058002</v>
      </c>
      <c r="C30">
        <f t="shared" si="0"/>
        <v>1708965.1590794243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GaSbCth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2024-05-09T17:18:03Z</dcterms:created>
  <dcterms:modified xsi:type="dcterms:W3CDTF">2024-05-09T17:18:03Z</dcterms:modified>
</cp:coreProperties>
</file>