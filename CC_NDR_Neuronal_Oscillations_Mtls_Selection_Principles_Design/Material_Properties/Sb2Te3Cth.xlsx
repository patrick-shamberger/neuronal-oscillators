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EAB9CB80-3718-48DD-B20E-C3DA3D56F72F}" xr6:coauthVersionLast="36" xr6:coauthVersionMax="36" xr10:uidLastSave="{00000000-0000-0000-0000-000000000000}"/>
  <bookViews>
    <workbookView xWindow="0" yWindow="0" windowWidth="12960" windowHeight="6165"/>
  </bookViews>
  <sheets>
    <sheet name="Sheet1" sheetId="2" r:id="rId1"/>
    <sheet name="Sb2Te3Cth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  <c r="F4" i="1"/>
</calcChain>
</file>

<file path=xl/sharedStrings.xml><?xml version="1.0" encoding="utf-8"?>
<sst xmlns="http://schemas.openxmlformats.org/spreadsheetml/2006/main" count="7" uniqueCount="5">
  <si>
    <t>MW</t>
  </si>
  <si>
    <t xml:space="preserve">Density </t>
  </si>
  <si>
    <t>T (K)</t>
  </si>
  <si>
    <t>Cp (J/molK)</t>
  </si>
  <si>
    <t xml:space="preserve">Cth (J/m^3K)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</si>
</sst>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C9" sqref="C9"/>
    </sheetView>
  </sheetViews>
  <sheetFormatPr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>
        <v>91.496044839560199</v>
      </c>
      <c r="B2">
        <v>1101352.4589446529</v>
      </c>
    </row>
    <row r="3" spans="1:2" x14ac:dyDescent="0.25">
      <c r="A3">
        <v>99.694537700099403</v>
      </c>
      <c r="B3">
        <v>1129345.1516997516</v>
      </c>
    </row>
    <row r="4" spans="1:2" x14ac:dyDescent="0.25">
      <c r="A4">
        <v>109.379997982796</v>
      </c>
      <c r="B4">
        <v>1157307.937731815</v>
      </c>
    </row>
    <row r="5" spans="1:2" x14ac:dyDescent="0.25">
      <c r="A5">
        <v>118.68723254037999</v>
      </c>
      <c r="B5">
        <v>1176227.6783879963</v>
      </c>
    </row>
    <row r="6" spans="1:2" x14ac:dyDescent="0.25">
      <c r="A6">
        <v>130.22491823120001</v>
      </c>
      <c r="B6">
        <v>1195102.5589596403</v>
      </c>
    </row>
    <row r="7" spans="1:2" x14ac:dyDescent="0.25">
      <c r="A7">
        <v>144.736538766335</v>
      </c>
      <c r="B7">
        <v>1213917.6260852239</v>
      </c>
    </row>
    <row r="8" spans="1:2" x14ac:dyDescent="0.25">
      <c r="A8">
        <v>169.287350690892</v>
      </c>
      <c r="B8">
        <v>1235547.6635159142</v>
      </c>
    </row>
    <row r="9" spans="1:2" x14ac:dyDescent="0.25">
      <c r="A9">
        <v>190.85702347160699</v>
      </c>
      <c r="B9">
        <v>1247181.378774164</v>
      </c>
    </row>
    <row r="10" spans="1:2" x14ac:dyDescent="0.25">
      <c r="A10">
        <v>208.707116407071</v>
      </c>
      <c r="B10">
        <v>1255873.0201544561</v>
      </c>
    </row>
    <row r="11" spans="1:2" x14ac:dyDescent="0.25">
      <c r="A11">
        <v>241.055141708571</v>
      </c>
      <c r="B11">
        <v>1264273.070985208</v>
      </c>
    </row>
    <row r="12" spans="1:2" x14ac:dyDescent="0.25">
      <c r="A12">
        <v>271.17127501693</v>
      </c>
      <c r="B12">
        <v>1270706.7547768136</v>
      </c>
    </row>
    <row r="13" spans="1:2" x14ac:dyDescent="0.25">
      <c r="A13">
        <v>281.02459547858098</v>
      </c>
      <c r="B13">
        <v>1273525.4634222856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A1048576"/>
    </sheetView>
  </sheetViews>
  <sheetFormatPr defaultRowHeight="15" x14ac:dyDescent="0.25"/>
  <sheetData>
    <row r="1" spans="1:6" x14ac:dyDescent="0.25">
      <c r="A1" t="s">
        <v>2</v>
      </c>
      <c r="B1" t="s">
        <v>3</v>
      </c>
      <c r="C1" t="s">
        <v>4</v>
      </c>
    </row>
    <row r="2" spans="1:6" x14ac:dyDescent="0.25">
      <c r="A2">
        <v>91.496044839560199</v>
      </c>
      <c r="B2">
        <v>106.12293416711</v>
      </c>
      <c r="C2">
        <f>B2*$F$4/$F$3</f>
        <v>1101352.4589446529</v>
      </c>
    </row>
    <row r="3" spans="1:6" x14ac:dyDescent="0.25">
      <c r="A3">
        <v>99.694537700099403</v>
      </c>
      <c r="B3">
        <v>108.82022390962899</v>
      </c>
      <c r="C3">
        <f t="shared" ref="C3:C13" si="0">B3*$F$4/$F$3</f>
        <v>1129345.1516997516</v>
      </c>
      <c r="E3" t="s">
        <v>0</v>
      </c>
      <c r="F3">
        <v>626.32000000000005</v>
      </c>
    </row>
    <row r="4" spans="1:6" x14ac:dyDescent="0.25">
      <c r="A4">
        <v>109.379997982796</v>
      </c>
      <c r="B4">
        <v>111.514631932337</v>
      </c>
      <c r="C4">
        <f t="shared" si="0"/>
        <v>1157307.937731815</v>
      </c>
      <c r="E4" t="s">
        <v>1</v>
      </c>
      <c r="F4">
        <f>6.5*10^6</f>
        <v>6500000</v>
      </c>
    </row>
    <row r="5" spans="1:6" x14ac:dyDescent="0.25">
      <c r="A5">
        <v>118.68723254037999</v>
      </c>
      <c r="B5">
        <v>113.33767992737999</v>
      </c>
      <c r="C5">
        <f t="shared" si="0"/>
        <v>1176227.6783879963</v>
      </c>
    </row>
    <row r="6" spans="1:6" x14ac:dyDescent="0.25">
      <c r="A6">
        <v>130.22491823120001</v>
      </c>
      <c r="B6">
        <v>115.156405342708</v>
      </c>
      <c r="C6">
        <f t="shared" si="0"/>
        <v>1195102.5589596403</v>
      </c>
    </row>
    <row r="7" spans="1:6" x14ac:dyDescent="0.25">
      <c r="A7">
        <v>144.736538766335</v>
      </c>
      <c r="B7">
        <v>116.969367318415</v>
      </c>
      <c r="C7">
        <f t="shared" si="0"/>
        <v>1213917.6260852239</v>
      </c>
    </row>
    <row r="8" spans="1:6" x14ac:dyDescent="0.25">
      <c r="A8">
        <v>169.287350690892</v>
      </c>
      <c r="B8">
        <v>119.053571171275</v>
      </c>
      <c r="C8">
        <f t="shared" si="0"/>
        <v>1235547.6635159142</v>
      </c>
    </row>
    <row r="9" spans="1:6" x14ac:dyDescent="0.25">
      <c r="A9">
        <v>190.85702347160699</v>
      </c>
      <c r="B9">
        <v>120.174560177513</v>
      </c>
      <c r="C9">
        <f t="shared" si="0"/>
        <v>1247181.378774164</v>
      </c>
    </row>
    <row r="10" spans="1:6" x14ac:dyDescent="0.25">
      <c r="A10">
        <v>208.707116407071</v>
      </c>
      <c r="B10">
        <v>121.012059997406</v>
      </c>
      <c r="C10">
        <f t="shared" si="0"/>
        <v>1255873.0201544561</v>
      </c>
    </row>
    <row r="11" spans="1:6" x14ac:dyDescent="0.25">
      <c r="A11">
        <v>241.055141708571</v>
      </c>
      <c r="B11">
        <v>121.821463049147</v>
      </c>
      <c r="C11">
        <f t="shared" si="0"/>
        <v>1264273.070985208</v>
      </c>
    </row>
    <row r="12" spans="1:6" x14ac:dyDescent="0.25">
      <c r="A12">
        <v>271.17127501693</v>
      </c>
      <c r="B12">
        <v>122.441393023356</v>
      </c>
      <c r="C12">
        <f t="shared" si="0"/>
        <v>1270706.7547768136</v>
      </c>
    </row>
    <row r="13" spans="1:6" x14ac:dyDescent="0.25">
      <c r="A13">
        <v>281.02459547858098</v>
      </c>
      <c r="B13">
        <v>122.71299511548401</v>
      </c>
      <c r="C13">
        <f t="shared" si="0"/>
        <v>1273525.4634222856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Sb2Te3Cth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2024-04-16T17:10:29Z</dcterms:created>
  <dcterms:modified xsi:type="dcterms:W3CDTF">2024-04-16T17:10:29Z</dcterms:modified>
</cp:coreProperties>
</file>