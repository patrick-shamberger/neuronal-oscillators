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85EE72A6-594E-FD4F-AFF0-81528AFFD587}" xr6:coauthVersionLast="47" xr6:coauthVersionMax="47" xr10:uidLastSave="{00000000-0000-0000-0000-000000000000}"/>
  <bookViews>
    <workbookView xWindow="36660" yWindow="4840" windowWidth="26840" windowHeight="15340" xr2:uid="{412F21AC-049A-854B-AD89-FB6349D50C6A}"/>
  </bookViews>
  <sheets>
    <sheet name="Sheet1" sheetId="2" r:id="rId1"/>
    <sheet name="Ga2O3ECond1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 s="1"/>
  <c r="C4" i="1"/>
  <c r="D4" i="1"/>
  <c r="E4" i="1"/>
  <c r="C5" i="1"/>
  <c r="D5" i="1"/>
  <c r="E5" i="1" s="1"/>
  <c r="C6" i="1"/>
  <c r="D6" i="1"/>
  <c r="E6" i="1" s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 s="1"/>
  <c r="E2" i="1"/>
  <c r="D2" i="1"/>
  <c r="C2" i="1"/>
</calcChain>
</file>

<file path=xl/sharedStrings.xml><?xml version="1.0" encoding="utf-8"?>
<sst xmlns="http://schemas.openxmlformats.org/spreadsheetml/2006/main" count="7" uniqueCount="5">
  <si>
    <t>1000/T</t>
  </si>
  <si>
    <t>ohms cm</t>
  </si>
  <si>
    <t xml:space="preserve">T 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</si>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</sst>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2566-5BDC-5343-A4C1-D787A5D16FFD}">
  <dimension ref="A1:B13"/>
  <sheetViews>
    <sheetView tabSelected="1" workbookViewId="0">
      <selection activeCell="D20" sqref="D20"/>
    </sheetView>
  </sheetViews>
  <sheetFormatPr baseColWidth="10" defaultRowHeight="16" x14ac:dyDescent="0.2"/>
  <sheetData>
    <row r="1" spans="1:2" x14ac:dyDescent="0.2">
      <c r="A1" t="s">
        <v>2</v>
      </c>
      <c r="B1" t="s">
        <v>4</v>
      </c>
    </row>
    <row r="2" spans="1:2" x14ac:dyDescent="0.2">
      <c r="A2">
        <v>535.3741496598675</v>
      </c>
      <c r="B2">
        <v>54.188306600103374</v>
      </c>
    </row>
    <row r="3" spans="1:2" x14ac:dyDescent="0.2">
      <c r="A3">
        <v>263.21070234113802</v>
      </c>
      <c r="B3">
        <v>157.55235266613286</v>
      </c>
    </row>
    <row r="4" spans="1:2" x14ac:dyDescent="0.2">
      <c r="A4">
        <v>120.15267175572534</v>
      </c>
      <c r="B4">
        <v>191.98257064414918</v>
      </c>
    </row>
    <row r="5" spans="1:2" x14ac:dyDescent="0.2">
      <c r="A5">
        <v>87.153931339978158</v>
      </c>
      <c r="B5">
        <v>72.888824150690652</v>
      </c>
    </row>
    <row r="6" spans="1:2" x14ac:dyDescent="0.2">
      <c r="A6">
        <v>71.093044263776321</v>
      </c>
      <c r="B6">
        <v>27.131661797824471</v>
      </c>
    </row>
    <row r="7" spans="1:2" x14ac:dyDescent="0.2">
      <c r="A7">
        <v>60.960495739736956</v>
      </c>
      <c r="B7">
        <v>10.300908666147752</v>
      </c>
    </row>
    <row r="8" spans="1:2" x14ac:dyDescent="0.2">
      <c r="A8">
        <v>51.810401579986959</v>
      </c>
      <c r="B8">
        <v>3.3389133625467826</v>
      </c>
    </row>
    <row r="9" spans="1:2" x14ac:dyDescent="0.2">
      <c r="A9">
        <v>42.609637249594037</v>
      </c>
      <c r="B9">
        <v>0.6734822905067781</v>
      </c>
    </row>
    <row r="10" spans="1:2" x14ac:dyDescent="0.2">
      <c r="A10">
        <v>36.792893875642925</v>
      </c>
      <c r="B10">
        <v>0.16883707169550619</v>
      </c>
    </row>
    <row r="11" spans="1:2" x14ac:dyDescent="0.2">
      <c r="A11">
        <v>25.232446296890021</v>
      </c>
      <c r="B11">
        <v>4.5357839562624857E-3</v>
      </c>
    </row>
    <row r="12" spans="1:2" x14ac:dyDescent="0.2">
      <c r="A12">
        <v>18.121114437025113</v>
      </c>
      <c r="B12">
        <v>5.4726468610483375E-4</v>
      </c>
    </row>
    <row r="13" spans="1:2" x14ac:dyDescent="0.2">
      <c r="A13">
        <v>16.263690845215979</v>
      </c>
      <c r="B13">
        <v>4.3171101831322961E-4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B426-0C4E-AD48-83A0-77CB38C88E72}">
  <dimension ref="A1:E13"/>
  <sheetViews>
    <sheetView workbookViewId="0">
      <selection activeCell="E1" sqref="E1:E1048576"/>
    </sheetView>
  </sheetViews>
  <sheetFormatPr baseColWidth="10" defaultRowHeight="16" x14ac:dyDescent="0.2"/>
  <cols>
    <col min="5" max="5" width="10.83203125" style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>
        <v>1.8678526048284501</v>
      </c>
      <c r="B2">
        <v>1.84541659029827</v>
      </c>
      <c r="C2">
        <f>1000/A2</f>
        <v>535.3741496598675</v>
      </c>
      <c r="D2">
        <f>1/B2</f>
        <v>0.54188306600103375</v>
      </c>
      <c r="E2" s="1">
        <f>D2*100</f>
        <v>54.188306600103374</v>
      </c>
    </row>
    <row r="3" spans="1:5" x14ac:dyDescent="0.2">
      <c r="A3">
        <v>3.7992376111816899</v>
      </c>
      <c r="B3">
        <v>0.63470965877551</v>
      </c>
      <c r="C3">
        <f t="shared" ref="C3:C13" si="0">1000/A3</f>
        <v>263.21070234113802</v>
      </c>
      <c r="D3">
        <f t="shared" ref="D3:D13" si="1">1/B3</f>
        <v>1.5755235266613286</v>
      </c>
      <c r="E3" s="1">
        <f t="shared" ref="E3:E13" si="2">D3*100</f>
        <v>157.55235266613286</v>
      </c>
    </row>
    <row r="4" spans="1:5" x14ac:dyDescent="0.2">
      <c r="A4">
        <v>8.3227445997458602</v>
      </c>
      <c r="B4">
        <v>0.52088061777939099</v>
      </c>
      <c r="C4">
        <f t="shared" si="0"/>
        <v>120.15267175572534</v>
      </c>
      <c r="D4">
        <f t="shared" si="1"/>
        <v>1.9198257064414919</v>
      </c>
      <c r="E4" s="1">
        <f t="shared" si="2"/>
        <v>191.98257064414918</v>
      </c>
    </row>
    <row r="5" spans="1:5" x14ac:dyDescent="0.2">
      <c r="A5">
        <v>11.473951715374801</v>
      </c>
      <c r="B5">
        <v>1.3719524380481101</v>
      </c>
      <c r="C5">
        <f t="shared" si="0"/>
        <v>87.153931339978158</v>
      </c>
      <c r="D5">
        <f t="shared" si="1"/>
        <v>0.72888824150690645</v>
      </c>
      <c r="E5" s="1">
        <f t="shared" si="2"/>
        <v>72.888824150690652</v>
      </c>
    </row>
    <row r="6" spans="1:5" x14ac:dyDescent="0.2">
      <c r="A6">
        <v>14.066073697585701</v>
      </c>
      <c r="B6">
        <v>3.6857307431135098</v>
      </c>
      <c r="C6">
        <f t="shared" si="0"/>
        <v>71.093044263776321</v>
      </c>
      <c r="D6">
        <f t="shared" si="1"/>
        <v>0.27131661797824469</v>
      </c>
      <c r="E6" s="1">
        <f t="shared" si="2"/>
        <v>27.131661797824471</v>
      </c>
    </row>
    <row r="7" spans="1:5" x14ac:dyDescent="0.2">
      <c r="A7">
        <v>16.4040660736975</v>
      </c>
      <c r="B7">
        <v>9.7078814346382494</v>
      </c>
      <c r="C7">
        <f t="shared" si="0"/>
        <v>60.960495739736956</v>
      </c>
      <c r="D7">
        <f t="shared" si="1"/>
        <v>0.10300908666147751</v>
      </c>
      <c r="E7" s="1">
        <f t="shared" si="2"/>
        <v>10.300908666147752</v>
      </c>
    </row>
    <row r="8" spans="1:5" x14ac:dyDescent="0.2">
      <c r="A8">
        <v>19.3011435832274</v>
      </c>
      <c r="B8">
        <v>29.949863665741901</v>
      </c>
      <c r="C8">
        <f t="shared" si="0"/>
        <v>51.810401579986959</v>
      </c>
      <c r="D8">
        <f t="shared" si="1"/>
        <v>3.3389133625467825E-2</v>
      </c>
      <c r="E8" s="1">
        <f t="shared" si="2"/>
        <v>3.3389133625467826</v>
      </c>
    </row>
    <row r="9" spans="1:5" x14ac:dyDescent="0.2">
      <c r="A9">
        <v>23.468869123252802</v>
      </c>
      <c r="B9">
        <v>148.482003772887</v>
      </c>
      <c r="C9">
        <f t="shared" si="0"/>
        <v>42.609637249594037</v>
      </c>
      <c r="D9">
        <f t="shared" si="1"/>
        <v>6.7348229050677808E-3</v>
      </c>
      <c r="E9" s="1">
        <f t="shared" si="2"/>
        <v>0.6734822905067781</v>
      </c>
    </row>
    <row r="10" spans="1:5" x14ac:dyDescent="0.2">
      <c r="A10">
        <v>27.179161372299799</v>
      </c>
      <c r="B10">
        <v>592.28698410706704</v>
      </c>
      <c r="C10">
        <f t="shared" si="0"/>
        <v>36.792893875642925</v>
      </c>
      <c r="D10">
        <f t="shared" si="1"/>
        <v>1.6883707169550617E-3</v>
      </c>
      <c r="E10" s="1">
        <f t="shared" si="2"/>
        <v>0.16883707169550619</v>
      </c>
    </row>
    <row r="11" spans="1:5" x14ac:dyDescent="0.2">
      <c r="A11">
        <v>39.631512071156301</v>
      </c>
      <c r="B11">
        <v>22046.905444412001</v>
      </c>
      <c r="C11">
        <f t="shared" si="0"/>
        <v>25.232446296890021</v>
      </c>
      <c r="D11">
        <f t="shared" si="1"/>
        <v>4.5357839562624859E-5</v>
      </c>
      <c r="E11" s="1">
        <f t="shared" si="2"/>
        <v>4.5357839562624857E-3</v>
      </c>
    </row>
    <row r="12" spans="1:5" x14ac:dyDescent="0.2">
      <c r="A12">
        <v>55.184243964421803</v>
      </c>
      <c r="B12">
        <v>182726.93732853801</v>
      </c>
      <c r="C12">
        <f t="shared" si="0"/>
        <v>18.121114437025113</v>
      </c>
      <c r="D12">
        <f t="shared" si="1"/>
        <v>5.472646861048338E-6</v>
      </c>
      <c r="E12" s="1">
        <f t="shared" si="2"/>
        <v>5.4726468610483375E-4</v>
      </c>
    </row>
    <row r="13" spans="1:5" x14ac:dyDescent="0.2">
      <c r="A13">
        <v>61.486658195679702</v>
      </c>
      <c r="B13">
        <v>231636.432145553</v>
      </c>
      <c r="C13">
        <f t="shared" si="0"/>
        <v>16.263690845215979</v>
      </c>
      <c r="D13">
        <f t="shared" si="1"/>
        <v>4.3171101831322963E-6</v>
      </c>
      <c r="E13" s="1">
        <f t="shared" si="2"/>
        <v>4.3171101831322961E-4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Ga2O3ECond12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2024-07-02T16:00:39Z</dcterms:created>
  <dcterms:modified xsi:type="dcterms:W3CDTF">2024-07-02T16:00:39Z</dcterms:modified>
</cp:coreProperties>
</file>