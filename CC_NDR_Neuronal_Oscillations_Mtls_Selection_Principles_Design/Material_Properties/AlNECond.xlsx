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8_{728B5A81-F86D-4133-B0A7-BB062C0DC030}" xr6:coauthVersionLast="36" xr6:coauthVersionMax="36" xr10:uidLastSave="{00000000-0000-0000-0000-000000000000}"/>
  <bookViews>
    <workbookView xWindow="0" yWindow="0" windowWidth="9945" windowHeight="7020"/>
  </bookViews>
  <sheets>
    <sheet name="Sheet1" sheetId="2" r:id="rId1"/>
    <sheet name="AlNECond" sheetId="1" r:id="rId2"/>
  </sheets>
  <calcPr calcId="0"/>
</workbook>
</file>

<file path=xl/calcChain.xml><?xml version="1.0" encoding="utf-8"?>
<calcChain xmlns="http://schemas.openxmlformats.org/spreadsheetml/2006/main">
  <c r="C3" i="1" l="1"/>
  <c r="D3" i="1"/>
  <c r="E3" i="1"/>
  <c r="C4" i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 s="1"/>
  <c r="C10" i="1"/>
  <c r="D10" i="1"/>
  <c r="E10" i="1"/>
  <c r="C11" i="1"/>
  <c r="D11" i="1"/>
  <c r="E11" i="1"/>
  <c r="E2" i="1"/>
  <c r="D2" i="1"/>
  <c r="C2" i="1"/>
</calcChain>
</file>

<file path=xl/sharedStrings.xml><?xml version="1.0" encoding="utf-8"?>
<sst xmlns="http://schemas.openxmlformats.org/spreadsheetml/2006/main" count="7" uniqueCount="5">
  <si>
    <t>10000/T</t>
  </si>
  <si>
    <t>T</t>
  </si>
  <si>
    <t>s/cm</t>
  </si>
  <si>
    <t>log s/cm</t>
  </si>
  <si>
    <t>s/m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</si>
</sst>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D7" sqref="D7"/>
    </sheetView>
  </sheetViews>
  <sheetFormatPr defaultRowHeight="15" x14ac:dyDescent="0.25"/>
  <sheetData>
    <row r="1" spans="1:2" x14ac:dyDescent="0.25">
      <c r="A1" t="s">
        <v>1</v>
      </c>
      <c r="B1" t="s">
        <v>4</v>
      </c>
    </row>
    <row r="2" spans="1:2" x14ac:dyDescent="0.25">
      <c r="A2">
        <v>1257.0194384449244</v>
      </c>
      <c r="B2">
        <v>3.7728672140362685</v>
      </c>
    </row>
    <row r="3" spans="1:2" x14ac:dyDescent="0.25">
      <c r="A3">
        <v>1159.3625498007973</v>
      </c>
      <c r="B3">
        <v>1.9947170220770822</v>
      </c>
    </row>
    <row r="4" spans="1:2" x14ac:dyDescent="0.25">
      <c r="A4">
        <v>1058.1818181818185</v>
      </c>
      <c r="B4">
        <v>0.93871419638760356</v>
      </c>
    </row>
    <row r="5" spans="1:2" x14ac:dyDescent="0.25">
      <c r="A5">
        <v>966.77740863787835</v>
      </c>
      <c r="B5">
        <v>0.37984027861437381</v>
      </c>
    </row>
    <row r="6" spans="1:2" x14ac:dyDescent="0.25">
      <c r="A6">
        <v>867.36214605067266</v>
      </c>
      <c r="B6">
        <v>0.14760747100171293</v>
      </c>
    </row>
    <row r="7" spans="1:2" x14ac:dyDescent="0.25">
      <c r="A7">
        <v>767.81002638522841</v>
      </c>
      <c r="B7">
        <v>7.5575076207839736E-2</v>
      </c>
    </row>
    <row r="8" spans="1:2" x14ac:dyDescent="0.25">
      <c r="A8">
        <v>672.83236994219919</v>
      </c>
      <c r="B8">
        <v>4.7273694889423103E-2</v>
      </c>
    </row>
    <row r="9" spans="1:2" x14ac:dyDescent="0.25">
      <c r="A9">
        <v>572.83464566929194</v>
      </c>
      <c r="B9">
        <v>2.0304712077950659E-2</v>
      </c>
    </row>
    <row r="10" spans="1:2" x14ac:dyDescent="0.25">
      <c r="A10">
        <v>473.9413680781762</v>
      </c>
      <c r="B10">
        <v>1.3578611893011856E-2</v>
      </c>
    </row>
    <row r="11" spans="1:2" x14ac:dyDescent="0.25">
      <c r="A11">
        <v>374.0359897172242</v>
      </c>
      <c r="B11">
        <v>8.7616223937048016E-3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E1" sqref="E1:E1048576"/>
    </sheetView>
  </sheetViews>
  <sheetFormatPr defaultRowHeight="15" x14ac:dyDescent="0.25"/>
  <sheetData>
    <row r="1" spans="1:5" x14ac:dyDescent="0.25">
      <c r="A1" t="s">
        <v>0</v>
      </c>
      <c r="B1" t="s">
        <v>3</v>
      </c>
      <c r="C1" t="s">
        <v>1</v>
      </c>
      <c r="D1" t="s">
        <v>2</v>
      </c>
      <c r="E1" t="s">
        <v>4</v>
      </c>
    </row>
    <row r="2" spans="1:5" x14ac:dyDescent="0.25">
      <c r="A2">
        <v>7.9553264604810998</v>
      </c>
      <c r="B2">
        <v>-3.2773349393606499</v>
      </c>
      <c r="C2">
        <f>10000/A2</f>
        <v>1257.0194384449244</v>
      </c>
      <c r="D2">
        <f>EXP(B2)</f>
        <v>3.7728672140362685E-2</v>
      </c>
      <c r="E2">
        <f>D2*100</f>
        <v>3.7728672140362685</v>
      </c>
    </row>
    <row r="3" spans="1:5" x14ac:dyDescent="0.25">
      <c r="A3">
        <v>8.6254295532646008</v>
      </c>
      <c r="B3">
        <v>-3.9146679892774001</v>
      </c>
      <c r="C3">
        <f t="shared" ref="C3:C11" si="0">10000/A3</f>
        <v>1159.3625498007973</v>
      </c>
      <c r="D3">
        <f t="shared" ref="D3:D11" si="1">EXP(B3)</f>
        <v>1.9947170220770822E-2</v>
      </c>
      <c r="E3">
        <f t="shared" ref="E3:E11" si="2">D3*100</f>
        <v>1.9947170220770822</v>
      </c>
    </row>
    <row r="4" spans="1:5" x14ac:dyDescent="0.25">
      <c r="A4">
        <v>9.4501718213058403</v>
      </c>
      <c r="B4">
        <v>-4.6684144022862197</v>
      </c>
      <c r="C4">
        <f t="shared" si="0"/>
        <v>1058.1818181818185</v>
      </c>
      <c r="D4">
        <f t="shared" si="1"/>
        <v>9.3871419638760362E-3</v>
      </c>
      <c r="E4">
        <f t="shared" si="2"/>
        <v>0.93871419638760356</v>
      </c>
    </row>
    <row r="5" spans="1:5" x14ac:dyDescent="0.25">
      <c r="A5">
        <v>10.3436426116838</v>
      </c>
      <c r="B5">
        <v>-5.5731746200446297</v>
      </c>
      <c r="C5">
        <f t="shared" si="0"/>
        <v>966.77740863787835</v>
      </c>
      <c r="D5">
        <f t="shared" si="1"/>
        <v>3.798402786143738E-3</v>
      </c>
      <c r="E5">
        <f t="shared" si="2"/>
        <v>0.37984027861437381</v>
      </c>
    </row>
    <row r="6" spans="1:5" x14ac:dyDescent="0.25">
      <c r="A6">
        <v>11.5292096219931</v>
      </c>
      <c r="B6">
        <v>-6.5183689375420597</v>
      </c>
      <c r="C6">
        <f t="shared" si="0"/>
        <v>867.36214605067266</v>
      </c>
      <c r="D6">
        <f t="shared" si="1"/>
        <v>1.4760747100171293E-3</v>
      </c>
      <c r="E6">
        <f t="shared" si="2"/>
        <v>0.14760747100171293</v>
      </c>
    </row>
    <row r="7" spans="1:5" x14ac:dyDescent="0.25">
      <c r="A7">
        <v>13.0240549828178</v>
      </c>
      <c r="B7">
        <v>-7.1877989159315501</v>
      </c>
      <c r="C7">
        <f t="shared" si="0"/>
        <v>767.81002638522841</v>
      </c>
      <c r="D7">
        <f t="shared" si="1"/>
        <v>7.5575076207839737E-4</v>
      </c>
      <c r="E7">
        <f t="shared" si="2"/>
        <v>7.5575076207839736E-2</v>
      </c>
    </row>
    <row r="8" spans="1:5" x14ac:dyDescent="0.25">
      <c r="A8">
        <v>14.862542955326401</v>
      </c>
      <c r="B8">
        <v>-7.6569714575878898</v>
      </c>
      <c r="C8">
        <f t="shared" si="0"/>
        <v>672.83236994219919</v>
      </c>
      <c r="D8">
        <f t="shared" si="1"/>
        <v>4.7273694889423101E-4</v>
      </c>
      <c r="E8">
        <f t="shared" si="2"/>
        <v>4.7273694889423103E-2</v>
      </c>
    </row>
    <row r="9" spans="1:5" x14ac:dyDescent="0.25">
      <c r="A9">
        <v>17.4570446735395</v>
      </c>
      <c r="B9">
        <v>-8.5020724837921104</v>
      </c>
      <c r="C9">
        <f t="shared" si="0"/>
        <v>572.83464566929194</v>
      </c>
      <c r="D9">
        <f t="shared" si="1"/>
        <v>2.030471207795066E-4</v>
      </c>
      <c r="E9">
        <f t="shared" si="2"/>
        <v>2.0304712077950659E-2</v>
      </c>
    </row>
    <row r="10" spans="1:5" x14ac:dyDescent="0.25">
      <c r="A10">
        <v>21.099656357388302</v>
      </c>
      <c r="B10">
        <v>-8.9044295650736291</v>
      </c>
      <c r="C10">
        <f t="shared" si="0"/>
        <v>473.9413680781762</v>
      </c>
      <c r="D10">
        <f t="shared" si="1"/>
        <v>1.3578611893011856E-4</v>
      </c>
      <c r="E10">
        <f t="shared" si="2"/>
        <v>1.3578611893011856E-2</v>
      </c>
    </row>
    <row r="11" spans="1:5" x14ac:dyDescent="0.25">
      <c r="A11">
        <v>26.735395189003398</v>
      </c>
      <c r="B11">
        <v>-9.3425443724093906</v>
      </c>
      <c r="C11">
        <f t="shared" si="0"/>
        <v>374.0359897172242</v>
      </c>
      <c r="D11">
        <f t="shared" si="1"/>
        <v>8.7616223937048019E-5</v>
      </c>
      <c r="E11">
        <f t="shared" si="2"/>
        <v>8.7616223937048016E-3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AlNECond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2024-04-19T16:59:09Z</dcterms:created>
  <dcterms:modified xsi:type="dcterms:W3CDTF">2024-04-19T16:59:09Z</dcterms:modified>
</cp:coreProperties>
</file>