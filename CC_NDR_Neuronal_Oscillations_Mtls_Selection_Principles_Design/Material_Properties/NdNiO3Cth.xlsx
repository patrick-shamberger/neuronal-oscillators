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5B0DE361-0768-4944-AE38-0AE2B3CDFB72}" xr6:coauthVersionLast="47" xr6:coauthVersionMax="47" xr10:uidLastSave="{00000000-0000-0000-0000-000000000000}"/>
  <bookViews>
    <workbookView xWindow="680" yWindow="740" windowWidth="28040" windowHeight="16840" xr2:uid="{93ABA6AD-8E14-0F47-A506-66E10509AE60}"/>
  </bookViews>
  <sheets>
    <sheet name="Sheet1" sheetId="2" r:id="rId1"/>
    <sheet name="NdNiO3Cth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" i="1"/>
  <c r="E2" i="1"/>
</calcChain>
</file>

<file path=xl/sharedStrings.xml><?xml version="1.0" encoding="utf-8"?>
<sst xmlns="http://schemas.openxmlformats.org/spreadsheetml/2006/main" count="4" uniqueCount="4">
  <si>
    <t>density</t>
  </si>
  <si>
    <t>mw</t>
  </si>
  <si>
    <t xml:space="preserve">T </t>
  </si>
  <si>
    <t>J/m^3K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</si>
</sst>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E42DE-ED13-304F-ACC0-1BF47C248920}">
  <dimension ref="A1:B19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>
        <v>0.607015791773314</v>
      </c>
      <c r="B2">
        <v>493904.12529590388</v>
      </c>
    </row>
    <row r="3" spans="1:2" x14ac:dyDescent="0.2">
      <c r="A3">
        <v>7.2042163410523798</v>
      </c>
      <c r="B3">
        <v>436915.18776175595</v>
      </c>
    </row>
    <row r="4" spans="1:2" x14ac:dyDescent="0.2">
      <c r="A4">
        <v>17.2769333999126</v>
      </c>
      <c r="B4">
        <v>816841.43798936729</v>
      </c>
    </row>
    <row r="5" spans="1:2" x14ac:dyDescent="0.2">
      <c r="A5">
        <v>26.386461519255899</v>
      </c>
      <c r="B5">
        <v>1918627.5636494462</v>
      </c>
    </row>
    <row r="6" spans="1:2" x14ac:dyDescent="0.2">
      <c r="A6">
        <v>32.9965357967667</v>
      </c>
      <c r="B6">
        <v>2811454.2516843379</v>
      </c>
    </row>
    <row r="7" spans="1:2" x14ac:dyDescent="0.2">
      <c r="A7">
        <v>42.7442887460208</v>
      </c>
      <c r="B7">
        <v>4141196.1274809972</v>
      </c>
    </row>
    <row r="8" spans="1:2" x14ac:dyDescent="0.2">
      <c r="A8">
        <v>55.8111229011921</v>
      </c>
      <c r="B8">
        <v>5831867.9409938809</v>
      </c>
    </row>
    <row r="9" spans="1:2" x14ac:dyDescent="0.2">
      <c r="A9">
        <v>75.347200549278995</v>
      </c>
      <c r="B9">
        <v>8244399.6299392479</v>
      </c>
    </row>
    <row r="10" spans="1:2" x14ac:dyDescent="0.2">
      <c r="A10">
        <v>93.900973721989899</v>
      </c>
      <c r="B10">
        <v>10466968.193770798</v>
      </c>
    </row>
    <row r="11" spans="1:2" x14ac:dyDescent="0.2">
      <c r="A11">
        <v>109.49534985331699</v>
      </c>
      <c r="B11">
        <v>12195632.632306429</v>
      </c>
    </row>
    <row r="12" spans="1:2" x14ac:dyDescent="0.2">
      <c r="A12">
        <v>128.418169902003</v>
      </c>
      <c r="B12">
        <v>14228238.071024165</v>
      </c>
    </row>
    <row r="13" spans="1:2" x14ac:dyDescent="0.2">
      <c r="A13">
        <v>155.21464015979001</v>
      </c>
      <c r="B13">
        <v>16659766.072480738</v>
      </c>
    </row>
    <row r="14" spans="1:2" x14ac:dyDescent="0.2">
      <c r="A14">
        <v>175.695181324511</v>
      </c>
      <c r="B14">
        <v>18464415.761061948</v>
      </c>
    </row>
    <row r="15" spans="1:2" x14ac:dyDescent="0.2">
      <c r="A15">
        <v>191.070313962923</v>
      </c>
      <c r="B15">
        <v>19471220.324165143</v>
      </c>
    </row>
    <row r="16" spans="1:2" x14ac:dyDescent="0.2">
      <c r="A16">
        <v>207.114880469383</v>
      </c>
      <c r="B16">
        <v>20516017.512291089</v>
      </c>
    </row>
    <row r="17" spans="1:2" x14ac:dyDescent="0.2">
      <c r="A17">
        <v>229.05015292428601</v>
      </c>
      <c r="B17">
        <v>22719589.763611212</v>
      </c>
    </row>
    <row r="18" spans="1:2" x14ac:dyDescent="0.2">
      <c r="A18">
        <v>248.761001185943</v>
      </c>
      <c r="B18">
        <v>24068327.951919299</v>
      </c>
    </row>
    <row r="19" spans="1:2" x14ac:dyDescent="0.2">
      <c r="A19">
        <v>257.46052056675597</v>
      </c>
      <c r="B19">
        <v>24581228.389726628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D612-438A-D246-BBCB-884A11A82115}">
  <dimension ref="A1:E18"/>
  <sheetViews>
    <sheetView workbookViewId="0">
      <selection sqref="A1:A1048576"/>
    </sheetView>
  </sheetViews>
  <sheetFormatPr baseColWidth="10" defaultRowHeight="16" x14ac:dyDescent="0.2"/>
  <sheetData>
    <row r="1" spans="1:5" x14ac:dyDescent="0.2">
      <c r="A1">
        <v>0.607015791773314</v>
      </c>
      <c r="B1">
        <v>3.0023094688222001</v>
      </c>
      <c r="C1">
        <f>B1*$E$2/$E$3</f>
        <v>493904.12529590388</v>
      </c>
    </row>
    <row r="2" spans="1:5" x14ac:dyDescent="0.2">
      <c r="A2">
        <v>7.2042163410523798</v>
      </c>
      <c r="B2">
        <v>2.6558891454965301</v>
      </c>
      <c r="C2">
        <f t="shared" ref="C2:C18" si="0">B2*$E$2/$E$3</f>
        <v>436915.18776175595</v>
      </c>
      <c r="D2" t="s">
        <v>0</v>
      </c>
      <c r="E2">
        <f>7.24*10^6</f>
        <v>7240000</v>
      </c>
    </row>
    <row r="3" spans="1:5" x14ac:dyDescent="0.2">
      <c r="A3">
        <v>17.2769333999126</v>
      </c>
      <c r="B3">
        <v>4.9653579676674102</v>
      </c>
      <c r="C3">
        <f t="shared" si="0"/>
        <v>816841.43798936729</v>
      </c>
      <c r="D3" t="s">
        <v>1</v>
      </c>
      <c r="E3">
        <v>44.01</v>
      </c>
    </row>
    <row r="4" spans="1:5" x14ac:dyDescent="0.2">
      <c r="A4">
        <v>26.386461519255899</v>
      </c>
      <c r="B4">
        <v>11.662817551963</v>
      </c>
      <c r="C4">
        <f t="shared" si="0"/>
        <v>1918627.5636494462</v>
      </c>
    </row>
    <row r="5" spans="1:5" x14ac:dyDescent="0.2">
      <c r="A5">
        <v>32.9965357967667</v>
      </c>
      <c r="B5">
        <v>17.090069284064601</v>
      </c>
      <c r="C5">
        <f t="shared" si="0"/>
        <v>2811454.2516843379</v>
      </c>
    </row>
    <row r="6" spans="1:5" x14ac:dyDescent="0.2">
      <c r="A6">
        <v>42.7442887460208</v>
      </c>
      <c r="B6">
        <v>25.173210161662801</v>
      </c>
      <c r="C6">
        <f t="shared" si="0"/>
        <v>4141196.1274809972</v>
      </c>
    </row>
    <row r="7" spans="1:5" x14ac:dyDescent="0.2">
      <c r="A7">
        <v>55.8111229011921</v>
      </c>
      <c r="B7">
        <v>35.450346420323299</v>
      </c>
      <c r="C7">
        <f t="shared" si="0"/>
        <v>5831867.9409938809</v>
      </c>
    </row>
    <row r="8" spans="1:5" x14ac:dyDescent="0.2">
      <c r="A8">
        <v>75.347200549278995</v>
      </c>
      <c r="B8">
        <v>50.115473441108598</v>
      </c>
      <c r="C8">
        <f t="shared" si="0"/>
        <v>8244399.6299392479</v>
      </c>
    </row>
    <row r="9" spans="1:5" x14ac:dyDescent="0.2">
      <c r="A9">
        <v>93.900973721989899</v>
      </c>
      <c r="B9">
        <v>63.625866050808398</v>
      </c>
      <c r="C9">
        <f t="shared" si="0"/>
        <v>10466968.193770798</v>
      </c>
    </row>
    <row r="10" spans="1:5" x14ac:dyDescent="0.2">
      <c r="A10">
        <v>109.49534985331699</v>
      </c>
      <c r="B10">
        <v>74.1339491916859</v>
      </c>
      <c r="C10">
        <f t="shared" si="0"/>
        <v>12195632.632306429</v>
      </c>
    </row>
    <row r="11" spans="1:5" x14ac:dyDescent="0.2">
      <c r="A11">
        <v>128.418169902003</v>
      </c>
      <c r="B11">
        <v>86.489607390300193</v>
      </c>
      <c r="C11">
        <f t="shared" si="0"/>
        <v>14228238.071024165</v>
      </c>
    </row>
    <row r="12" spans="1:5" x14ac:dyDescent="0.2">
      <c r="A12">
        <v>155.21464015979001</v>
      </c>
      <c r="B12">
        <v>101.270207852193</v>
      </c>
      <c r="C12">
        <f t="shared" si="0"/>
        <v>16659766.072480738</v>
      </c>
    </row>
    <row r="13" spans="1:5" x14ac:dyDescent="0.2">
      <c r="A13">
        <v>175.695181324511</v>
      </c>
      <c r="B13">
        <v>112.24018475750501</v>
      </c>
      <c r="C13">
        <f t="shared" si="0"/>
        <v>18464415.761061948</v>
      </c>
    </row>
    <row r="14" spans="1:5" x14ac:dyDescent="0.2">
      <c r="A14">
        <v>191.070313962923</v>
      </c>
      <c r="B14">
        <v>118.36027713625801</v>
      </c>
      <c r="C14">
        <f t="shared" si="0"/>
        <v>19471220.324165143</v>
      </c>
    </row>
    <row r="15" spans="1:5" x14ac:dyDescent="0.2">
      <c r="A15">
        <v>207.114880469383</v>
      </c>
      <c r="B15">
        <v>124.711316397228</v>
      </c>
      <c r="C15">
        <f t="shared" si="0"/>
        <v>20516017.512291089</v>
      </c>
    </row>
    <row r="16" spans="1:5" x14ac:dyDescent="0.2">
      <c r="A16">
        <v>229.05015292428601</v>
      </c>
      <c r="B16">
        <v>138.10623556581899</v>
      </c>
      <c r="C16">
        <f t="shared" si="0"/>
        <v>22719589.763611212</v>
      </c>
    </row>
    <row r="17" spans="1:3" x14ac:dyDescent="0.2">
      <c r="A17">
        <v>248.761001185943</v>
      </c>
      <c r="B17">
        <v>146.30484988452599</v>
      </c>
      <c r="C17">
        <f t="shared" si="0"/>
        <v>24068327.951919299</v>
      </c>
    </row>
    <row r="18" spans="1:3" x14ac:dyDescent="0.2">
      <c r="A18">
        <v>257.46052056675597</v>
      </c>
      <c r="B18">
        <v>149.422632794457</v>
      </c>
      <c r="C18">
        <f t="shared" si="0"/>
        <v>24581228.389726628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NdNiO3Cth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2024-07-19T17:29:44Z</dcterms:created>
  <dcterms:modified xsi:type="dcterms:W3CDTF">2024-07-19T17:29:44Z</dcterms:modified>
</cp:coreProperties>
</file>