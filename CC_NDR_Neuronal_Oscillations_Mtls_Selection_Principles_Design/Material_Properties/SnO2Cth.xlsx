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78904DDA-D740-4199-833E-662DF5B8B527}" xr6:coauthVersionLast="36" xr6:coauthVersionMax="36" xr10:uidLastSave="{00000000-0000-0000-0000-000000000000}"/>
  <bookViews>
    <workbookView xWindow="0" yWindow="0" windowWidth="28800" windowHeight="14025"/>
  </bookViews>
  <sheets>
    <sheet name="Sheet1" sheetId="2" r:id="rId1"/>
    <sheet name="SnO2Cth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F3" i="1"/>
</calcChain>
</file>

<file path=xl/sharedStrings.xml><?xml version="1.0" encoding="utf-8"?>
<sst xmlns="http://schemas.openxmlformats.org/spreadsheetml/2006/main" count="7" uniqueCount="5">
  <si>
    <t>T (K)</t>
  </si>
  <si>
    <t>Cp (J/molK)</t>
  </si>
  <si>
    <t>J/m^3K</t>
  </si>
  <si>
    <t>Density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</si>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</sst>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F26" sqref="F26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24.2057300312064</v>
      </c>
      <c r="B2">
        <v>24409.35008857572</v>
      </c>
    </row>
    <row r="3" spans="1:2" x14ac:dyDescent="0.25">
      <c r="A3">
        <v>48.115994953854297</v>
      </c>
      <c r="B3">
        <v>166309.36520459622</v>
      </c>
    </row>
    <row r="4" spans="1:2" x14ac:dyDescent="0.25">
      <c r="A4">
        <v>71.396321625390001</v>
      </c>
      <c r="B4">
        <v>488297.22964445216</v>
      </c>
    </row>
    <row r="5" spans="1:2" x14ac:dyDescent="0.25">
      <c r="A5">
        <v>89.256191487948996</v>
      </c>
      <c r="B5">
        <v>806929.2677299357</v>
      </c>
    </row>
    <row r="6" spans="1:2" x14ac:dyDescent="0.25">
      <c r="A6">
        <v>107.56589867870601</v>
      </c>
      <c r="B6">
        <v>1154930.9101869231</v>
      </c>
    </row>
    <row r="7" spans="1:2" x14ac:dyDescent="0.25">
      <c r="A7">
        <v>120.330655334971</v>
      </c>
      <c r="B7">
        <v>1389348.8533356041</v>
      </c>
    </row>
    <row r="8" spans="1:2" x14ac:dyDescent="0.25">
      <c r="A8">
        <v>145.793771993891</v>
      </c>
      <c r="B8">
        <v>1799396.5407242107</v>
      </c>
    </row>
    <row r="9" spans="1:2" x14ac:dyDescent="0.25">
      <c r="A9">
        <v>168.18687338158099</v>
      </c>
      <c r="B9">
        <v>2073667.9837164599</v>
      </c>
    </row>
    <row r="10" spans="1:2" x14ac:dyDescent="0.25">
      <c r="A10">
        <v>198.52516433171701</v>
      </c>
      <c r="B10">
        <v>2373193.857156598</v>
      </c>
    </row>
    <row r="11" spans="1:2" x14ac:dyDescent="0.25">
      <c r="A11">
        <v>237.99216519487399</v>
      </c>
      <c r="B11">
        <v>2639112.4768872242</v>
      </c>
    </row>
    <row r="12" spans="1:2" x14ac:dyDescent="0.25">
      <c r="A12">
        <v>289.08356018856603</v>
      </c>
      <c r="B12">
        <v>2867602.6099792742</v>
      </c>
    </row>
    <row r="13" spans="1:2" x14ac:dyDescent="0.25">
      <c r="A13">
        <v>326.70556403957198</v>
      </c>
      <c r="B13">
        <v>2975625.9254741236</v>
      </c>
    </row>
    <row r="14" spans="1:2" x14ac:dyDescent="0.25">
      <c r="A14">
        <v>393.52134652413503</v>
      </c>
      <c r="B14">
        <v>3107654.4221900473</v>
      </c>
    </row>
    <row r="15" spans="1:2" x14ac:dyDescent="0.25">
      <c r="A15">
        <v>441.92201713033597</v>
      </c>
      <c r="B15">
        <v>3167275.4539166829</v>
      </c>
    </row>
    <row r="16" spans="1:2" x14ac:dyDescent="0.25">
      <c r="A16">
        <v>475.29463515038799</v>
      </c>
      <c r="B16">
        <v>3202058.4716043686</v>
      </c>
    </row>
    <row r="17" spans="1:2" x14ac:dyDescent="0.25">
      <c r="A17">
        <v>503.23849677976199</v>
      </c>
      <c r="B17">
        <v>3226137.1380740823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24.2057300312064</v>
      </c>
      <c r="B2">
        <v>0.52931412256823696</v>
      </c>
      <c r="C2">
        <f>B2*$F$3/$F$4</f>
        <v>24409.35008857572</v>
      </c>
    </row>
    <row r="3" spans="1:6" x14ac:dyDescent="0.25">
      <c r="A3">
        <v>48.115994953854297</v>
      </c>
      <c r="B3">
        <v>3.6064006374078699</v>
      </c>
      <c r="C3">
        <f t="shared" ref="C3:C17" si="0">B3*$F$3/$F$4</f>
        <v>166309.36520459622</v>
      </c>
      <c r="E3" t="s">
        <v>3</v>
      </c>
      <c r="F3">
        <f>6.95*10^6</f>
        <v>6950000</v>
      </c>
    </row>
    <row r="4" spans="1:6" x14ac:dyDescent="0.25">
      <c r="A4">
        <v>71.396321625390001</v>
      </c>
      <c r="B4">
        <v>10.5886727308943</v>
      </c>
      <c r="C4">
        <f t="shared" si="0"/>
        <v>488297.22964445216</v>
      </c>
      <c r="E4" t="s">
        <v>4</v>
      </c>
      <c r="F4">
        <v>150.71</v>
      </c>
    </row>
    <row r="5" spans="1:6" x14ac:dyDescent="0.25">
      <c r="A5">
        <v>89.256191487948996</v>
      </c>
      <c r="B5">
        <v>17.4981740920257</v>
      </c>
      <c r="C5">
        <f t="shared" si="0"/>
        <v>806929.2677299357</v>
      </c>
    </row>
    <row r="6" spans="1:6" x14ac:dyDescent="0.25">
      <c r="A6">
        <v>107.56589867870601</v>
      </c>
      <c r="B6">
        <v>25.044552154571399</v>
      </c>
      <c r="C6">
        <f t="shared" si="0"/>
        <v>1154930.9101869231</v>
      </c>
    </row>
    <row r="7" spans="1:6" x14ac:dyDescent="0.25">
      <c r="A7">
        <v>120.330655334971</v>
      </c>
      <c r="B7">
        <v>30.127879954850201</v>
      </c>
      <c r="C7">
        <f t="shared" si="0"/>
        <v>1389348.8533356041</v>
      </c>
    </row>
    <row r="8" spans="1:6" x14ac:dyDescent="0.25">
      <c r="A8">
        <v>145.793771993891</v>
      </c>
      <c r="B8">
        <v>39.019719806121699</v>
      </c>
      <c r="C8">
        <f t="shared" si="0"/>
        <v>1799396.5407242107</v>
      </c>
    </row>
    <row r="9" spans="1:6" x14ac:dyDescent="0.25">
      <c r="A9">
        <v>168.18687338158099</v>
      </c>
      <c r="B9">
        <v>44.967266449770896</v>
      </c>
      <c r="C9">
        <f t="shared" si="0"/>
        <v>2073667.9837164599</v>
      </c>
    </row>
    <row r="10" spans="1:6" x14ac:dyDescent="0.25">
      <c r="A10">
        <v>198.52516433171701</v>
      </c>
      <c r="B10">
        <v>51.462452692384304</v>
      </c>
      <c r="C10">
        <f t="shared" si="0"/>
        <v>2373193.857156598</v>
      </c>
    </row>
    <row r="11" spans="1:6" x14ac:dyDescent="0.25">
      <c r="A11">
        <v>237.99216519487399</v>
      </c>
      <c r="B11">
        <v>57.228869264989001</v>
      </c>
      <c r="C11">
        <f t="shared" si="0"/>
        <v>2639112.4768872242</v>
      </c>
    </row>
    <row r="12" spans="1:6" x14ac:dyDescent="0.25">
      <c r="A12">
        <v>289.08356018856603</v>
      </c>
      <c r="B12">
        <v>62.1836531438815</v>
      </c>
      <c r="C12">
        <f t="shared" si="0"/>
        <v>2867602.6099792742</v>
      </c>
    </row>
    <row r="13" spans="1:6" x14ac:dyDescent="0.25">
      <c r="A13">
        <v>326.70556403957198</v>
      </c>
      <c r="B13">
        <v>64.526127083194993</v>
      </c>
      <c r="C13">
        <f t="shared" si="0"/>
        <v>2975625.9254741236</v>
      </c>
    </row>
    <row r="14" spans="1:6" x14ac:dyDescent="0.25">
      <c r="A14">
        <v>393.52134652413503</v>
      </c>
      <c r="B14">
        <v>67.3891507868003</v>
      </c>
      <c r="C14">
        <f t="shared" si="0"/>
        <v>3107654.4221900473</v>
      </c>
    </row>
    <row r="15" spans="1:6" x14ac:dyDescent="0.25">
      <c r="A15">
        <v>441.92201713033597</v>
      </c>
      <c r="B15">
        <v>68.682026425868102</v>
      </c>
      <c r="C15">
        <f t="shared" si="0"/>
        <v>3167275.4539166829</v>
      </c>
    </row>
    <row r="16" spans="1:6" x14ac:dyDescent="0.25">
      <c r="A16">
        <v>475.29463515038799</v>
      </c>
      <c r="B16">
        <v>69.436292410862507</v>
      </c>
      <c r="C16">
        <f t="shared" si="0"/>
        <v>3202058.4716043686</v>
      </c>
    </row>
    <row r="17" spans="1:3" x14ac:dyDescent="0.25">
      <c r="A17">
        <v>503.23849677976199</v>
      </c>
      <c r="B17">
        <v>69.958435694841</v>
      </c>
      <c r="C17">
        <f t="shared" si="0"/>
        <v>3226137.1380740823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SnO2Cth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2024-05-09T16:46:28Z</dcterms:created>
  <dcterms:modified xsi:type="dcterms:W3CDTF">2024-05-09T16:46:28Z</dcterms:modified>
</cp:coreProperties>
</file>