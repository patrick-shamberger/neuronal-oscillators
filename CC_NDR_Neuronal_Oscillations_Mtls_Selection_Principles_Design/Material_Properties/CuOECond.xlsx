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CB78B7D7-6426-4671-8DD0-6826EDC5C285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CuOECond (1)" sheetId="1" r:id="rId2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 s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 s="1"/>
  <c r="F16" i="1" s="1"/>
  <c r="D17" i="1"/>
  <c r="E17" i="1"/>
  <c r="F17" i="1"/>
  <c r="F2" i="1"/>
  <c r="E2" i="1"/>
  <c r="D2" i="1"/>
</calcChain>
</file>

<file path=xl/sharedStrings.xml><?xml version="1.0" encoding="utf-8"?>
<sst xmlns="http://schemas.openxmlformats.org/spreadsheetml/2006/main" count="8" uniqueCount="6">
  <si>
    <t>1000/T</t>
  </si>
  <si>
    <t>log(ohm cm)</t>
  </si>
  <si>
    <t xml:space="preserve">ohm cm </t>
  </si>
  <si>
    <t>S/cm</t>
  </si>
  <si>
    <t>S/m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</si>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</sst>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5</v>
      </c>
      <c r="B1" t="s">
        <v>4</v>
      </c>
    </row>
    <row r="2" spans="1:2" x14ac:dyDescent="0.25">
      <c r="A2">
        <v>286.47085183525559</v>
      </c>
      <c r="B2">
        <v>0.10675266123398994</v>
      </c>
    </row>
    <row r="3" spans="1:2" x14ac:dyDescent="0.25">
      <c r="A3">
        <v>305.6461077063509</v>
      </c>
      <c r="B3">
        <v>0.14276298372386384</v>
      </c>
    </row>
    <row r="4" spans="1:2" x14ac:dyDescent="0.25">
      <c r="A4">
        <v>333.27277466646666</v>
      </c>
      <c r="B4">
        <v>0.20884938952128027</v>
      </c>
    </row>
    <row r="5" spans="1:2" x14ac:dyDescent="0.25">
      <c r="A5">
        <v>359.09613175028835</v>
      </c>
      <c r="B5">
        <v>0.29908672462651709</v>
      </c>
    </row>
    <row r="6" spans="1:2" x14ac:dyDescent="0.25">
      <c r="A6">
        <v>393.47931510426434</v>
      </c>
      <c r="B6">
        <v>0.41404920222337643</v>
      </c>
    </row>
    <row r="7" spans="1:2" x14ac:dyDescent="0.25">
      <c r="A7">
        <v>412.69623905707584</v>
      </c>
      <c r="B7">
        <v>0.50584790706164451</v>
      </c>
    </row>
    <row r="8" spans="1:2" x14ac:dyDescent="0.25">
      <c r="A8">
        <v>473.11056290648321</v>
      </c>
      <c r="B8">
        <v>0.7714584997355185</v>
      </c>
    </row>
    <row r="9" spans="1:2" x14ac:dyDescent="0.25">
      <c r="A9">
        <v>508.27611131189116</v>
      </c>
      <c r="B9">
        <v>1.0028087458213355</v>
      </c>
    </row>
    <row r="10" spans="1:2" x14ac:dyDescent="0.25">
      <c r="A10">
        <v>559.78347396911386</v>
      </c>
      <c r="B10">
        <v>1.3776141953763246</v>
      </c>
    </row>
    <row r="11" spans="1:2" x14ac:dyDescent="0.25">
      <c r="A11">
        <v>619.10491562729533</v>
      </c>
      <c r="B11">
        <v>2.199986836055345</v>
      </c>
    </row>
    <row r="12" spans="1:2" x14ac:dyDescent="0.25">
      <c r="A12">
        <v>682.95051716602836</v>
      </c>
      <c r="B12">
        <v>4.1682912258414113</v>
      </c>
    </row>
    <row r="13" spans="1:2" x14ac:dyDescent="0.25">
      <c r="A13">
        <v>776.11610838254262</v>
      </c>
      <c r="B13">
        <v>9.2482514525443982</v>
      </c>
    </row>
    <row r="14" spans="1:2" x14ac:dyDescent="0.25">
      <c r="A14">
        <v>871.3034858747726</v>
      </c>
      <c r="B14">
        <v>18.255107976961245</v>
      </c>
    </row>
    <row r="15" spans="1:2" x14ac:dyDescent="0.25">
      <c r="A15">
        <v>979.54635154272978</v>
      </c>
      <c r="B15">
        <v>35.053209909569702</v>
      </c>
    </row>
    <row r="16" spans="1:2" x14ac:dyDescent="0.25">
      <c r="A16">
        <v>1092.547516702057</v>
      </c>
      <c r="B16">
        <v>58.674911965090715</v>
      </c>
    </row>
    <row r="17" spans="1:2" x14ac:dyDescent="0.25">
      <c r="A17">
        <v>1193.8879456706279</v>
      </c>
      <c r="B17">
        <v>92.308046561811139</v>
      </c>
    </row>
  </sheetData>
  <sortState ref="A2:B17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D16" sqref="D1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0.83759954493742905</v>
      </c>
      <c r="B2">
        <f>1000/A2</f>
        <v>1193.8879456706279</v>
      </c>
      <c r="C2">
        <v>8.0038869927946593E-2</v>
      </c>
      <c r="D2">
        <f>EXP(C2)</f>
        <v>1.0833291757835888</v>
      </c>
      <c r="E2">
        <f>1/D2</f>
        <v>0.92308046561811141</v>
      </c>
      <c r="F2">
        <f>E2*100</f>
        <v>92.308046561811139</v>
      </c>
    </row>
    <row r="3" spans="1:6" x14ac:dyDescent="0.25">
      <c r="A3">
        <v>0.91529199848312404</v>
      </c>
      <c r="B3">
        <f t="shared" ref="B3:B17" si="0">1000/A3</f>
        <v>1092.547516702057</v>
      </c>
      <c r="C3">
        <v>0.53315794463405197</v>
      </c>
      <c r="D3">
        <f t="shared" ref="D3:D17" si="1">EXP(C3)</f>
        <v>1.7043059231089448</v>
      </c>
      <c r="E3">
        <f t="shared" ref="E3:E17" si="2">1/D3</f>
        <v>0.58674911965090715</v>
      </c>
      <c r="F3">
        <f t="shared" ref="F3:F17" si="3">E3*100</f>
        <v>58.674911965090715</v>
      </c>
    </row>
    <row r="4" spans="1:6" x14ac:dyDescent="0.25">
      <c r="A4">
        <v>1.02088073568449</v>
      </c>
      <c r="B4">
        <f t="shared" si="0"/>
        <v>979.54635154272978</v>
      </c>
      <c r="C4">
        <v>1.0483029958285901</v>
      </c>
      <c r="D4">
        <f t="shared" si="1"/>
        <v>2.852805784633706</v>
      </c>
      <c r="E4">
        <f t="shared" si="2"/>
        <v>0.35053209909569705</v>
      </c>
      <c r="F4">
        <f t="shared" si="3"/>
        <v>35.053209909569702</v>
      </c>
    </row>
    <row r="5" spans="1:6" x14ac:dyDescent="0.25">
      <c r="A5">
        <v>1.14770572620402</v>
      </c>
      <c r="B5">
        <f t="shared" si="0"/>
        <v>871.3034858747726</v>
      </c>
      <c r="C5">
        <v>1.70072525597269</v>
      </c>
      <c r="D5">
        <f t="shared" si="1"/>
        <v>5.4779188447531739</v>
      </c>
      <c r="E5">
        <f t="shared" si="2"/>
        <v>0.18255107976961246</v>
      </c>
      <c r="F5">
        <f t="shared" si="3"/>
        <v>18.255107976961245</v>
      </c>
    </row>
    <row r="6" spans="1:6" x14ac:dyDescent="0.25">
      <c r="A6">
        <v>1.28846700796359</v>
      </c>
      <c r="B6">
        <f t="shared" si="0"/>
        <v>776.11610838254262</v>
      </c>
      <c r="C6">
        <v>2.3807356844899501</v>
      </c>
      <c r="D6">
        <f t="shared" si="1"/>
        <v>10.812854788078647</v>
      </c>
      <c r="E6">
        <f t="shared" si="2"/>
        <v>9.2482514525443982E-2</v>
      </c>
      <c r="F6">
        <f t="shared" si="3"/>
        <v>9.2482514525443982</v>
      </c>
    </row>
    <row r="7" spans="1:6" x14ac:dyDescent="0.25">
      <c r="A7">
        <v>1.46423492605233</v>
      </c>
      <c r="B7">
        <f t="shared" si="0"/>
        <v>682.95051716602836</v>
      </c>
      <c r="C7">
        <v>3.1776640121350002</v>
      </c>
      <c r="D7">
        <f t="shared" si="1"/>
        <v>23.990646186151256</v>
      </c>
      <c r="E7">
        <f t="shared" si="2"/>
        <v>4.1682912258414112E-2</v>
      </c>
      <c r="F7">
        <f t="shared" si="3"/>
        <v>4.1682912258414113</v>
      </c>
    </row>
    <row r="8" spans="1:6" x14ac:dyDescent="0.25">
      <c r="A8">
        <v>1.6152351156617299</v>
      </c>
      <c r="B8">
        <f t="shared" si="0"/>
        <v>619.10491562729533</v>
      </c>
      <c r="C8">
        <v>3.8167188092529298</v>
      </c>
      <c r="D8">
        <f t="shared" si="1"/>
        <v>45.454817438500484</v>
      </c>
      <c r="E8">
        <f t="shared" si="2"/>
        <v>2.199986836055345E-2</v>
      </c>
      <c r="F8">
        <f t="shared" si="3"/>
        <v>2.199986836055345</v>
      </c>
    </row>
    <row r="9" spans="1:6" x14ac:dyDescent="0.25">
      <c r="A9">
        <v>1.7864050056882801</v>
      </c>
      <c r="B9">
        <f t="shared" si="0"/>
        <v>559.78347396911386</v>
      </c>
      <c r="C9">
        <v>4.2848170269245296</v>
      </c>
      <c r="D9">
        <f t="shared" si="1"/>
        <v>72.589263623755613</v>
      </c>
      <c r="E9">
        <f t="shared" si="2"/>
        <v>1.3776141953763246E-2</v>
      </c>
      <c r="F9">
        <f t="shared" si="3"/>
        <v>1.3776141953763246</v>
      </c>
    </row>
    <row r="10" spans="1:6" x14ac:dyDescent="0.25">
      <c r="A10">
        <v>1.9674345847554</v>
      </c>
      <c r="B10">
        <f t="shared" si="0"/>
        <v>508.27611131189116</v>
      </c>
      <c r="C10">
        <v>4.6023653773227098</v>
      </c>
      <c r="D10">
        <f t="shared" si="1"/>
        <v>99.719912113547139</v>
      </c>
      <c r="E10">
        <f t="shared" si="2"/>
        <v>1.0028087458213354E-2</v>
      </c>
      <c r="F10">
        <f t="shared" si="3"/>
        <v>1.0028087458213355</v>
      </c>
    </row>
    <row r="11" spans="1:6" x14ac:dyDescent="0.25">
      <c r="A11">
        <v>2.1136708380735598</v>
      </c>
      <c r="B11">
        <f t="shared" si="0"/>
        <v>473.11056290648321</v>
      </c>
      <c r="C11">
        <v>4.8646425862722698</v>
      </c>
      <c r="D11">
        <f t="shared" si="1"/>
        <v>129.62460071965415</v>
      </c>
      <c r="E11">
        <f t="shared" si="2"/>
        <v>7.7145849973551846E-3</v>
      </c>
      <c r="F11">
        <f t="shared" si="3"/>
        <v>0.7714584997355185</v>
      </c>
    </row>
    <row r="12" spans="1:6" x14ac:dyDescent="0.25">
      <c r="A12">
        <v>2.4230896852483799</v>
      </c>
      <c r="B12">
        <f t="shared" si="0"/>
        <v>412.69623905707584</v>
      </c>
      <c r="C12">
        <v>5.2866894197952199</v>
      </c>
      <c r="D12">
        <f t="shared" si="1"/>
        <v>197.68787930917273</v>
      </c>
      <c r="E12">
        <f t="shared" si="2"/>
        <v>5.0584790706164453E-3</v>
      </c>
      <c r="F12">
        <f t="shared" si="3"/>
        <v>0.50584790706164451</v>
      </c>
    </row>
    <row r="13" spans="1:6" x14ac:dyDescent="0.25">
      <c r="A13">
        <v>2.5414296549108801</v>
      </c>
      <c r="B13">
        <f t="shared" si="0"/>
        <v>393.47931510426434</v>
      </c>
      <c r="C13">
        <v>5.48694065225635</v>
      </c>
      <c r="D13">
        <f t="shared" si="1"/>
        <v>241.51719037983017</v>
      </c>
      <c r="E13">
        <f t="shared" si="2"/>
        <v>4.1404920222337643E-3</v>
      </c>
      <c r="F13">
        <f t="shared" si="3"/>
        <v>0.41404920222337643</v>
      </c>
    </row>
    <row r="14" spans="1:6" x14ac:dyDescent="0.25">
      <c r="A14">
        <v>2.7847696245733702</v>
      </c>
      <c r="B14">
        <f t="shared" si="0"/>
        <v>359.09613175028835</v>
      </c>
      <c r="C14">
        <v>5.8121918847174801</v>
      </c>
      <c r="D14">
        <f t="shared" si="1"/>
        <v>334.35118233640912</v>
      </c>
      <c r="E14">
        <f t="shared" si="2"/>
        <v>2.9908672462651709E-3</v>
      </c>
      <c r="F14">
        <f t="shared" si="3"/>
        <v>0.29908672462651709</v>
      </c>
    </row>
    <row r="15" spans="1:6" x14ac:dyDescent="0.25">
      <c r="A15">
        <v>3.0005451270383001</v>
      </c>
      <c r="B15">
        <f t="shared" si="0"/>
        <v>333.27277466646666</v>
      </c>
      <c r="C15">
        <v>6.1713120970800102</v>
      </c>
      <c r="D15">
        <f t="shared" si="1"/>
        <v>478.81394448515118</v>
      </c>
      <c r="E15">
        <f t="shared" si="2"/>
        <v>2.0884938952128026E-3</v>
      </c>
      <c r="F15">
        <f t="shared" si="3"/>
        <v>0.20884938952128027</v>
      </c>
    </row>
    <row r="16" spans="1:6" x14ac:dyDescent="0.25">
      <c r="A16">
        <v>3.27175767918088</v>
      </c>
      <c r="B16">
        <f t="shared" si="0"/>
        <v>305.6461077063509</v>
      </c>
      <c r="C16">
        <v>6.5517396662874399</v>
      </c>
      <c r="D16">
        <f t="shared" si="1"/>
        <v>700.46168405546075</v>
      </c>
      <c r="E16">
        <f t="shared" si="2"/>
        <v>1.4276298372386384E-3</v>
      </c>
      <c r="F16">
        <f t="shared" si="3"/>
        <v>0.14276298372386384</v>
      </c>
    </row>
    <row r="17" spans="1:6" x14ac:dyDescent="0.25">
      <c r="A17">
        <v>3.4907565415244499</v>
      </c>
      <c r="B17">
        <f t="shared" si="0"/>
        <v>286.47085183525559</v>
      </c>
      <c r="C17">
        <v>6.8424108835798201</v>
      </c>
      <c r="D17">
        <f t="shared" si="1"/>
        <v>936.7447972169158</v>
      </c>
      <c r="E17">
        <f t="shared" si="2"/>
        <v>1.0675266123398993E-3</v>
      </c>
      <c r="F17">
        <f t="shared" si="3"/>
        <v>0.10675266123398994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CuOECond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2024-04-18T15:59:54Z</dcterms:created>
  <dcterms:modified xsi:type="dcterms:W3CDTF">2024-04-18T15:59:54Z</dcterms:modified>
</cp:coreProperties>
</file>