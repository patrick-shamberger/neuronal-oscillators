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227EF9F8-2502-F24A-8DF5-0C1D2D9F7574}" xr6:coauthVersionLast="47" xr6:coauthVersionMax="47" xr10:uidLastSave="{00000000-0000-0000-0000-000000000000}"/>
  <bookViews>
    <workbookView xWindow="29800" yWindow="5040" windowWidth="26040" windowHeight="14340" xr2:uid="{5C9D7B48-DD5A-E745-9DF8-D5C65BA05426}"/>
  </bookViews>
  <sheets>
    <sheet name="Sheet1" sheetId="2" r:id="rId1"/>
    <sheet name="Fe3O4ECondCrysta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C4" i="1"/>
  <c r="D4" i="1" s="1"/>
  <c r="C5" i="1"/>
  <c r="D5" i="1"/>
  <c r="C6" i="1"/>
  <c r="D6" i="1"/>
  <c r="C7" i="1"/>
  <c r="D7" i="1" s="1"/>
  <c r="C8" i="1"/>
  <c r="D8" i="1" s="1"/>
  <c r="C9" i="1"/>
  <c r="D9" i="1"/>
  <c r="C10" i="1"/>
  <c r="D10" i="1"/>
  <c r="C11" i="1"/>
  <c r="D11" i="1" s="1"/>
  <c r="C12" i="1"/>
  <c r="D12" i="1"/>
  <c r="C13" i="1"/>
  <c r="D13" i="1"/>
  <c r="C14" i="1"/>
  <c r="D14" i="1"/>
  <c r="C15" i="1"/>
  <c r="D15" i="1" s="1"/>
  <c r="C16" i="1"/>
  <c r="D16" i="1"/>
  <c r="D2" i="1"/>
  <c r="C2" i="1"/>
</calcChain>
</file>

<file path=xl/sharedStrings.xml><?xml version="1.0" encoding="utf-8"?>
<sst xmlns="http://schemas.openxmlformats.org/spreadsheetml/2006/main" count="6" uniqueCount="4">
  <si>
    <t>T (K)</t>
  </si>
  <si>
    <t>Ohm cm</t>
  </si>
  <si>
    <t>S/cm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</si>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</sst>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FAB6-9DEF-D74D-AC80-4ABF0CC1A060}">
  <dimension ref="A1:B16"/>
  <sheetViews>
    <sheetView tabSelected="1" workbookViewId="0">
      <selection activeCell="D18" sqref="D18"/>
    </sheetView>
  </sheetViews>
  <sheetFormatPr baseColWidth="10" defaultRowHeight="16" x14ac:dyDescent="0.2"/>
  <sheetData>
    <row r="1" spans="1:2" x14ac:dyDescent="0.2">
      <c r="A1" t="s">
        <v>0</v>
      </c>
      <c r="B1" t="s">
        <v>3</v>
      </c>
    </row>
    <row r="2" spans="1:2" x14ac:dyDescent="0.2">
      <c r="A2">
        <v>72.501328097156104</v>
      </c>
      <c r="B2">
        <v>1.2906056536930366</v>
      </c>
    </row>
    <row r="3" spans="1:2" x14ac:dyDescent="0.2">
      <c r="A3">
        <v>79.086672629094394</v>
      </c>
      <c r="B3">
        <v>3.7955873850014248</v>
      </c>
    </row>
    <row r="4" spans="1:2" x14ac:dyDescent="0.2">
      <c r="A4">
        <v>84.138821456670399</v>
      </c>
      <c r="B4">
        <v>8.0882318761076526</v>
      </c>
    </row>
    <row r="5" spans="1:2" x14ac:dyDescent="0.2">
      <c r="A5">
        <v>89.852665272444796</v>
      </c>
      <c r="B5">
        <v>17.976514883616108</v>
      </c>
    </row>
    <row r="6" spans="1:2" x14ac:dyDescent="0.2">
      <c r="A6">
        <v>95.342581820871601</v>
      </c>
      <c r="B6">
        <v>42.253228752618327</v>
      </c>
    </row>
    <row r="7" spans="1:2" x14ac:dyDescent="0.2">
      <c r="A7">
        <v>108.97793677585</v>
      </c>
      <c r="B7">
        <v>230.27728894766733</v>
      </c>
    </row>
    <row r="8" spans="1:2" x14ac:dyDescent="0.2">
      <c r="A8">
        <v>114.23518415159801</v>
      </c>
      <c r="B8">
        <v>686.64906198301082</v>
      </c>
    </row>
    <row r="9" spans="1:2" x14ac:dyDescent="0.2">
      <c r="A9">
        <v>115.510157421541</v>
      </c>
      <c r="B9">
        <v>2046.3337676013471</v>
      </c>
    </row>
    <row r="10" spans="1:2" x14ac:dyDescent="0.2">
      <c r="A10">
        <v>116.122090794773</v>
      </c>
      <c r="B10">
        <v>6013.1048519119113</v>
      </c>
    </row>
    <row r="11" spans="1:2" x14ac:dyDescent="0.2">
      <c r="A11">
        <v>116.953916709815</v>
      </c>
      <c r="B11">
        <v>18171.57223508256</v>
      </c>
    </row>
    <row r="12" spans="1:2" x14ac:dyDescent="0.2">
      <c r="A12">
        <v>127.750169794699</v>
      </c>
      <c r="B12">
        <v>45842.111957432397</v>
      </c>
    </row>
    <row r="13" spans="1:2" x14ac:dyDescent="0.2">
      <c r="A13">
        <v>162.66533969026699</v>
      </c>
      <c r="B13">
        <v>106691.23972296082</v>
      </c>
    </row>
    <row r="14" spans="1:2" x14ac:dyDescent="0.2">
      <c r="A14">
        <v>215.073734609203</v>
      </c>
      <c r="B14">
        <v>180400.89771730889</v>
      </c>
    </row>
    <row r="15" spans="1:2" x14ac:dyDescent="0.2">
      <c r="A15">
        <v>262.41518670692398</v>
      </c>
      <c r="B15">
        <v>194765.36583643625</v>
      </c>
    </row>
    <row r="16" spans="1:2" x14ac:dyDescent="0.2">
      <c r="A16">
        <v>280.11216536994999</v>
      </c>
      <c r="B16">
        <v>203621.96173254747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23089-1BB4-E242-B62C-8F49D85912AB}">
  <dimension ref="A1:D16"/>
  <sheetViews>
    <sheetView workbookViewId="0">
      <selection activeCell="D1" sqref="D1:D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72.501328097156104</v>
      </c>
      <c r="B2">
        <v>77.483001654186495</v>
      </c>
      <c r="C2">
        <f>1/B2</f>
        <v>1.2906056536930366E-2</v>
      </c>
      <c r="D2">
        <f>C2*100</f>
        <v>1.2906056536930366</v>
      </c>
    </row>
    <row r="3" spans="1:4" x14ac:dyDescent="0.2">
      <c r="A3">
        <v>79.086672629094394</v>
      </c>
      <c r="B3">
        <v>26.346383275262799</v>
      </c>
      <c r="C3">
        <f t="shared" ref="C3:C16" si="0">1/B3</f>
        <v>3.7955873850014248E-2</v>
      </c>
      <c r="D3">
        <f t="shared" ref="D3:D16" si="1">C3*100</f>
        <v>3.7955873850014248</v>
      </c>
    </row>
    <row r="4" spans="1:4" x14ac:dyDescent="0.2">
      <c r="A4">
        <v>84.138821456670399</v>
      </c>
      <c r="B4">
        <v>12.363641588391699</v>
      </c>
      <c r="C4">
        <f t="shared" si="0"/>
        <v>8.088231876107653E-2</v>
      </c>
      <c r="D4">
        <f t="shared" si="1"/>
        <v>8.0882318761076526</v>
      </c>
    </row>
    <row r="5" spans="1:4" x14ac:dyDescent="0.2">
      <c r="A5">
        <v>89.852665272444796</v>
      </c>
      <c r="B5">
        <v>5.5628135179383698</v>
      </c>
      <c r="C5">
        <f t="shared" si="0"/>
        <v>0.1797651488361611</v>
      </c>
      <c r="D5">
        <f t="shared" si="1"/>
        <v>17.976514883616108</v>
      </c>
    </row>
    <row r="6" spans="1:4" x14ac:dyDescent="0.2">
      <c r="A6">
        <v>95.342581820871601</v>
      </c>
      <c r="B6">
        <v>2.3666830429805499</v>
      </c>
      <c r="C6">
        <f t="shared" si="0"/>
        <v>0.42253228752618327</v>
      </c>
      <c r="D6">
        <f t="shared" si="1"/>
        <v>42.253228752618327</v>
      </c>
    </row>
    <row r="7" spans="1:4" x14ac:dyDescent="0.2">
      <c r="A7">
        <v>108.97793677585</v>
      </c>
      <c r="B7">
        <v>0.43425906417860399</v>
      </c>
      <c r="C7">
        <f t="shared" si="0"/>
        <v>2.3027728894766732</v>
      </c>
      <c r="D7">
        <f t="shared" si="1"/>
        <v>230.27728894766733</v>
      </c>
    </row>
    <row r="8" spans="1:4" x14ac:dyDescent="0.2">
      <c r="A8">
        <v>114.23518415159801</v>
      </c>
      <c r="B8">
        <v>0.14563480173002</v>
      </c>
      <c r="C8">
        <f t="shared" si="0"/>
        <v>6.8664906198301088</v>
      </c>
      <c r="D8">
        <f t="shared" si="1"/>
        <v>686.64906198301082</v>
      </c>
    </row>
    <row r="9" spans="1:4" x14ac:dyDescent="0.2">
      <c r="A9">
        <v>115.510157421541</v>
      </c>
      <c r="B9">
        <v>4.8867883423151001E-2</v>
      </c>
      <c r="C9">
        <f t="shared" si="0"/>
        <v>20.46333767601347</v>
      </c>
      <c r="D9">
        <f t="shared" si="1"/>
        <v>2046.3337676013471</v>
      </c>
    </row>
    <row r="10" spans="1:4" x14ac:dyDescent="0.2">
      <c r="A10">
        <v>116.122090794773</v>
      </c>
      <c r="B10">
        <v>1.66303436349034E-2</v>
      </c>
      <c r="C10">
        <f t="shared" si="0"/>
        <v>60.131048519119112</v>
      </c>
      <c r="D10">
        <f t="shared" si="1"/>
        <v>6013.1048519119113</v>
      </c>
    </row>
    <row r="11" spans="1:4" x14ac:dyDescent="0.2">
      <c r="A11">
        <v>116.953916709815</v>
      </c>
      <c r="B11">
        <v>5.5031011464675098E-3</v>
      </c>
      <c r="C11">
        <f t="shared" si="0"/>
        <v>181.71572235082559</v>
      </c>
      <c r="D11">
        <f t="shared" si="1"/>
        <v>18171.57223508256</v>
      </c>
    </row>
    <row r="12" spans="1:4" x14ac:dyDescent="0.2">
      <c r="A12">
        <v>127.750169794699</v>
      </c>
      <c r="B12">
        <v>2.1814003703157698E-3</v>
      </c>
      <c r="C12">
        <f t="shared" si="0"/>
        <v>458.42111957432394</v>
      </c>
      <c r="D12">
        <f t="shared" si="1"/>
        <v>45842.111957432397</v>
      </c>
    </row>
    <row r="13" spans="1:4" x14ac:dyDescent="0.2">
      <c r="A13">
        <v>162.66533969026699</v>
      </c>
      <c r="B13">
        <v>9.3728407561543398E-4</v>
      </c>
      <c r="C13">
        <f t="shared" si="0"/>
        <v>1066.9123972296081</v>
      </c>
      <c r="D13">
        <f t="shared" si="1"/>
        <v>106691.23972296082</v>
      </c>
    </row>
    <row r="14" spans="1:4" x14ac:dyDescent="0.2">
      <c r="A14">
        <v>215.073734609203</v>
      </c>
      <c r="B14">
        <v>5.5432096661016405E-4</v>
      </c>
      <c r="C14">
        <f t="shared" si="0"/>
        <v>1804.0089771730889</v>
      </c>
      <c r="D14">
        <f t="shared" si="1"/>
        <v>180400.89771730889</v>
      </c>
    </row>
    <row r="15" spans="1:4" x14ac:dyDescent="0.2">
      <c r="A15">
        <v>262.41518670692398</v>
      </c>
      <c r="B15">
        <v>5.1343830855420103E-4</v>
      </c>
      <c r="C15">
        <f t="shared" si="0"/>
        <v>1947.6536583643626</v>
      </c>
      <c r="D15">
        <f t="shared" si="1"/>
        <v>194765.36583643625</v>
      </c>
    </row>
    <row r="16" spans="1:4" x14ac:dyDescent="0.2">
      <c r="A16">
        <v>280.11216536994999</v>
      </c>
      <c r="B16">
        <v>4.9110616138424001E-4</v>
      </c>
      <c r="C16">
        <f t="shared" si="0"/>
        <v>2036.2196173254747</v>
      </c>
      <c r="D16">
        <f t="shared" si="1"/>
        <v>203621.96173254747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Fe3O4ECondCrystal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2024-07-02T16:13:22Z</dcterms:created>
  <dcterms:modified xsi:type="dcterms:W3CDTF">2024-07-02T16:13:22Z</dcterms:modified>
</cp:coreProperties>
</file>