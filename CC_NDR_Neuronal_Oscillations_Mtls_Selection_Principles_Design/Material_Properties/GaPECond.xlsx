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40009_{5591777E-E720-4EFC-8991-A7B105024E5B}" xr6:coauthVersionLast="36" xr6:coauthVersionMax="36" xr10:uidLastSave="{00000000-0000-0000-0000-000000000000}"/>
  <bookViews>
    <workbookView xWindow="0" yWindow="0" windowWidth="12960" windowHeight="6165"/>
  </bookViews>
  <sheets>
    <sheet name="Sheet1" sheetId="2" r:id="rId1"/>
    <sheet name="GaPECond" sheetId="1" r:id="rId2"/>
  </sheets>
  <calcPr calcId="0"/>
</workbook>
</file>

<file path=xl/calcChain.xml><?xml version="1.0" encoding="utf-8"?>
<calcChain xmlns="http://schemas.openxmlformats.org/spreadsheetml/2006/main">
  <c r="C3" i="1" l="1"/>
  <c r="D3" i="1"/>
  <c r="E3" i="1" s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 s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 s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E2" i="1"/>
  <c r="D2" i="1"/>
  <c r="C2" i="1"/>
</calcChain>
</file>

<file path=xl/sharedStrings.xml><?xml version="1.0" encoding="utf-8"?>
<sst xmlns="http://schemas.openxmlformats.org/spreadsheetml/2006/main" count="7" uniqueCount="5">
  <si>
    <t>1000/T</t>
  </si>
  <si>
    <t>Ohm cm</t>
  </si>
  <si>
    <t xml:space="preserve">T </t>
  </si>
  <si>
    <t>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</si>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</sst>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D13" sqref="D13"/>
    </sheetView>
  </sheetViews>
  <sheetFormatPr defaultRowHeight="15" x14ac:dyDescent="0.25"/>
  <sheetData>
    <row r="1" spans="1:2" x14ac:dyDescent="0.25">
      <c r="A1" t="s">
        <v>2</v>
      </c>
      <c r="B1" t="s">
        <v>4</v>
      </c>
    </row>
    <row r="2" spans="1:2" x14ac:dyDescent="0.25">
      <c r="A2">
        <v>394.61761885570627</v>
      </c>
      <c r="B2">
        <v>0.21105711286552215</v>
      </c>
    </row>
    <row r="3" spans="1:2" x14ac:dyDescent="0.25">
      <c r="A3">
        <v>378.87945987777897</v>
      </c>
      <c r="B3">
        <v>0.14672538444614439</v>
      </c>
    </row>
    <row r="4" spans="1:2" x14ac:dyDescent="0.25">
      <c r="A4">
        <v>345.13333495393562</v>
      </c>
      <c r="B4">
        <v>0.14615539379613762</v>
      </c>
    </row>
    <row r="5" spans="1:2" x14ac:dyDescent="0.25">
      <c r="A5">
        <v>344.11279963159672</v>
      </c>
      <c r="B5">
        <v>9.2950560245941505E-2</v>
      </c>
    </row>
    <row r="6" spans="1:2" x14ac:dyDescent="0.25">
      <c r="A6">
        <v>315.18336811259678</v>
      </c>
      <c r="B6">
        <v>5.5436708005997294E-2</v>
      </c>
    </row>
    <row r="7" spans="1:2" x14ac:dyDescent="0.25">
      <c r="A7">
        <v>293.4874731271708</v>
      </c>
      <c r="B7">
        <v>3.1142453165121615E-2</v>
      </c>
    </row>
    <row r="8" spans="1:2" x14ac:dyDescent="0.25">
      <c r="A8">
        <v>276.46689417136912</v>
      </c>
      <c r="B8">
        <v>2.8789073900553797E-2</v>
      </c>
    </row>
    <row r="9" spans="1:2" x14ac:dyDescent="0.25">
      <c r="A9">
        <v>280.18234472823468</v>
      </c>
      <c r="B9">
        <v>2.0060263707162612E-2</v>
      </c>
    </row>
    <row r="10" spans="1:2" x14ac:dyDescent="0.25">
      <c r="A10">
        <v>270.39213072293768</v>
      </c>
      <c r="B10">
        <v>1.6960465313200345E-2</v>
      </c>
    </row>
    <row r="11" spans="1:2" x14ac:dyDescent="0.25">
      <c r="A11">
        <v>261.7603407111061</v>
      </c>
      <c r="B11">
        <v>7.2748944714594874E-3</v>
      </c>
    </row>
    <row r="12" spans="1:2" x14ac:dyDescent="0.25">
      <c r="A12">
        <v>247.6031443606862</v>
      </c>
      <c r="B12">
        <v>4.0265899204342329E-3</v>
      </c>
    </row>
    <row r="13" spans="1:2" x14ac:dyDescent="0.25">
      <c r="A13">
        <v>237.15089864368312</v>
      </c>
      <c r="B13">
        <v>2.4412611207205626E-3</v>
      </c>
    </row>
    <row r="14" spans="1:2" x14ac:dyDescent="0.25">
      <c r="A14">
        <v>227.11857628474351</v>
      </c>
      <c r="B14">
        <v>1.2536738625779399E-3</v>
      </c>
    </row>
    <row r="15" spans="1:2" x14ac:dyDescent="0.25">
      <c r="A15">
        <v>220.60668684035755</v>
      </c>
      <c r="B15">
        <v>5.6256366981386927E-4</v>
      </c>
    </row>
    <row r="16" spans="1:2" x14ac:dyDescent="0.25">
      <c r="A16">
        <v>213.00432452300882</v>
      </c>
      <c r="B16">
        <v>3.6787970848604977E-4</v>
      </c>
    </row>
    <row r="17" spans="1:2" x14ac:dyDescent="0.25">
      <c r="A17">
        <v>203.51185250219496</v>
      </c>
      <c r="B17">
        <v>1.2757224368116355E-4</v>
      </c>
    </row>
    <row r="18" spans="1:2" x14ac:dyDescent="0.25">
      <c r="A18">
        <v>188.03846128376483</v>
      </c>
      <c r="B18">
        <v>4.9027969625529407E-5</v>
      </c>
    </row>
    <row r="19" spans="1:2" x14ac:dyDescent="0.25">
      <c r="A19">
        <v>181.40264353203511</v>
      </c>
      <c r="B19">
        <v>2.100667980722085E-5</v>
      </c>
    </row>
    <row r="20" spans="1:2" x14ac:dyDescent="0.25">
      <c r="A20">
        <v>180.59159480017303</v>
      </c>
      <c r="B20">
        <v>1.2959500483462493E-5</v>
      </c>
    </row>
    <row r="21" spans="1:2" x14ac:dyDescent="0.25">
      <c r="A21">
        <v>173.24417572427868</v>
      </c>
      <c r="B21">
        <v>5.6336255447576507E-6</v>
      </c>
    </row>
    <row r="22" spans="1:2" x14ac:dyDescent="0.25">
      <c r="A22">
        <v>164.69513521351425</v>
      </c>
      <c r="B22">
        <v>1.9512372773248986E-6</v>
      </c>
    </row>
    <row r="23" spans="1:2" x14ac:dyDescent="0.25">
      <c r="A23">
        <v>158.56631104583823</v>
      </c>
      <c r="B23">
        <v>9.7154473414860028E-7</v>
      </c>
    </row>
    <row r="24" spans="1:2" x14ac:dyDescent="0.25">
      <c r="A24">
        <v>152.69147937935077</v>
      </c>
      <c r="B24">
        <v>5.2949845455399605E-7</v>
      </c>
    </row>
    <row r="25" spans="1:2" x14ac:dyDescent="0.25">
      <c r="A25">
        <v>151.92396177757823</v>
      </c>
      <c r="B25">
        <v>2.604879949346773E-7</v>
      </c>
    </row>
    <row r="26" spans="1:2" x14ac:dyDescent="0.25">
      <c r="A26">
        <v>140.35950579692602</v>
      </c>
      <c r="B26">
        <v>4.6995980382759954E-8</v>
      </c>
    </row>
    <row r="27" spans="1:2" x14ac:dyDescent="0.25">
      <c r="A27">
        <v>130.84549260306306</v>
      </c>
      <c r="B27">
        <v>9.1462666589265521E-9</v>
      </c>
    </row>
    <row r="28" spans="1:2" x14ac:dyDescent="0.25">
      <c r="A28">
        <v>128.25515981363932</v>
      </c>
      <c r="B28">
        <v>3.4755122485294677E-9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2.5340987128242101</v>
      </c>
      <c r="B2">
        <v>473.80540102297499</v>
      </c>
      <c r="C2">
        <f>1000/A2</f>
        <v>394.61761885570627</v>
      </c>
      <c r="D2">
        <f>1/B2</f>
        <v>2.1105711286552213E-3</v>
      </c>
      <c r="E2">
        <f>D2*100</f>
        <v>0.21105711286552215</v>
      </c>
    </row>
    <row r="3" spans="1:5" x14ac:dyDescent="0.25">
      <c r="A3">
        <v>2.6393618707189499</v>
      </c>
      <c r="B3">
        <v>681.54532617159396</v>
      </c>
      <c r="C3">
        <f t="shared" ref="C3:C28" si="0">1000/A3</f>
        <v>378.87945987777897</v>
      </c>
      <c r="D3">
        <f t="shared" ref="D3:D28" si="1">1/B3</f>
        <v>1.4672538444614439E-3</v>
      </c>
      <c r="E3">
        <f t="shared" ref="E3:E28" si="2">D3*100</f>
        <v>0.14672538444614439</v>
      </c>
    </row>
    <row r="4" spans="1:5" x14ac:dyDescent="0.25">
      <c r="A4">
        <v>2.89743093095736</v>
      </c>
      <c r="B4">
        <v>684.20328119729402</v>
      </c>
      <c r="C4">
        <f t="shared" si="0"/>
        <v>345.13333495393562</v>
      </c>
      <c r="D4">
        <f t="shared" si="1"/>
        <v>1.4615539379613763E-3</v>
      </c>
      <c r="E4">
        <f t="shared" si="2"/>
        <v>0.14615539379613762</v>
      </c>
    </row>
    <row r="5" spans="1:5" x14ac:dyDescent="0.25">
      <c r="A5">
        <v>2.9060238418059101</v>
      </c>
      <c r="B5">
        <v>1075.8407451811599</v>
      </c>
      <c r="C5">
        <f t="shared" si="0"/>
        <v>344.11279963159672</v>
      </c>
      <c r="D5">
        <f t="shared" si="1"/>
        <v>9.29505602459415E-4</v>
      </c>
      <c r="E5">
        <f t="shared" si="2"/>
        <v>9.2950560245941505E-2</v>
      </c>
    </row>
    <row r="6" spans="1:5" x14ac:dyDescent="0.25">
      <c r="A6">
        <v>3.1727562465883601</v>
      </c>
      <c r="B6">
        <v>1803.8589158140801</v>
      </c>
      <c r="C6">
        <f t="shared" si="0"/>
        <v>315.18336811259678</v>
      </c>
      <c r="D6">
        <f t="shared" si="1"/>
        <v>5.5436708005997292E-4</v>
      </c>
      <c r="E6">
        <f t="shared" si="2"/>
        <v>5.5436708005997294E-2</v>
      </c>
    </row>
    <row r="7" spans="1:5" x14ac:dyDescent="0.25">
      <c r="A7">
        <v>3.4073004525364898</v>
      </c>
      <c r="B7">
        <v>3211.0508272995098</v>
      </c>
      <c r="C7">
        <f t="shared" si="0"/>
        <v>293.4874731271708</v>
      </c>
      <c r="D7">
        <f t="shared" si="1"/>
        <v>3.1142453165121614E-4</v>
      </c>
      <c r="E7">
        <f t="shared" si="2"/>
        <v>3.1142453165121615E-2</v>
      </c>
    </row>
    <row r="8" spans="1:5" x14ac:dyDescent="0.25">
      <c r="A8">
        <v>3.61706960609955</v>
      </c>
      <c r="B8">
        <v>3473.5400084570401</v>
      </c>
      <c r="C8">
        <f t="shared" si="0"/>
        <v>276.46689417136912</v>
      </c>
      <c r="D8">
        <f t="shared" si="1"/>
        <v>2.8789073900553798E-4</v>
      </c>
      <c r="E8">
        <f t="shared" si="2"/>
        <v>2.8789073900553797E-2</v>
      </c>
    </row>
    <row r="9" spans="1:5" x14ac:dyDescent="0.25">
      <c r="A9">
        <v>3.5691042594777298</v>
      </c>
      <c r="B9">
        <v>4984.9793332624304</v>
      </c>
      <c r="C9">
        <f t="shared" si="0"/>
        <v>280.18234472823468</v>
      </c>
      <c r="D9">
        <f t="shared" si="1"/>
        <v>2.0060263707162611E-4</v>
      </c>
      <c r="E9">
        <f t="shared" si="2"/>
        <v>2.0060263707162612E-2</v>
      </c>
    </row>
    <row r="10" spans="1:5" x14ac:dyDescent="0.25">
      <c r="A10">
        <v>3.6983324822595098</v>
      </c>
      <c r="B10">
        <v>5896.0646511372497</v>
      </c>
      <c r="C10">
        <f t="shared" si="0"/>
        <v>270.39213072293768</v>
      </c>
      <c r="D10">
        <f t="shared" si="1"/>
        <v>1.6960465313200343E-4</v>
      </c>
      <c r="E10">
        <f t="shared" si="2"/>
        <v>1.6960465313200345E-2</v>
      </c>
    </row>
    <row r="11" spans="1:5" x14ac:dyDescent="0.25">
      <c r="A11">
        <v>3.8202884259829801</v>
      </c>
      <c r="B11">
        <v>13745.903860504801</v>
      </c>
      <c r="C11">
        <f t="shared" si="0"/>
        <v>261.7603407111061</v>
      </c>
      <c r="D11">
        <f t="shared" si="1"/>
        <v>7.2748944714594871E-5</v>
      </c>
      <c r="E11">
        <f t="shared" si="2"/>
        <v>7.2748944714594874E-3</v>
      </c>
    </row>
    <row r="12" spans="1:5" x14ac:dyDescent="0.25">
      <c r="A12">
        <v>4.0387209240900797</v>
      </c>
      <c r="B12">
        <v>24834.910426939099</v>
      </c>
      <c r="C12">
        <f t="shared" si="0"/>
        <v>247.6031443606862</v>
      </c>
      <c r="D12">
        <f t="shared" si="1"/>
        <v>4.0265899204342329E-5</v>
      </c>
      <c r="E12">
        <f t="shared" si="2"/>
        <v>4.0265899204342329E-3</v>
      </c>
    </row>
    <row r="13" spans="1:5" x14ac:dyDescent="0.25">
      <c r="A13">
        <v>4.2167244809916999</v>
      </c>
      <c r="B13">
        <v>40962.435010018104</v>
      </c>
      <c r="C13">
        <f t="shared" si="0"/>
        <v>237.15089864368312</v>
      </c>
      <c r="D13">
        <f t="shared" si="1"/>
        <v>2.4412611207205625E-5</v>
      </c>
      <c r="E13">
        <f t="shared" si="2"/>
        <v>2.4412611207205626E-3</v>
      </c>
    </row>
    <row r="14" spans="1:5" x14ac:dyDescent="0.25">
      <c r="A14">
        <v>4.4029863886883396</v>
      </c>
      <c r="B14">
        <v>79765.561829907805</v>
      </c>
      <c r="C14">
        <f t="shared" si="0"/>
        <v>227.11857628474351</v>
      </c>
      <c r="D14">
        <f t="shared" si="1"/>
        <v>1.2536738625779399E-5</v>
      </c>
      <c r="E14">
        <f t="shared" si="2"/>
        <v>1.2536738625779399E-3</v>
      </c>
    </row>
    <row r="15" spans="1:5" x14ac:dyDescent="0.25">
      <c r="A15">
        <v>4.5329541652726597</v>
      </c>
      <c r="B15">
        <v>177757.65724986501</v>
      </c>
      <c r="C15">
        <f t="shared" si="0"/>
        <v>220.60668684035755</v>
      </c>
      <c r="D15">
        <f t="shared" si="1"/>
        <v>5.6256366981386922E-6</v>
      </c>
      <c r="E15">
        <f t="shared" si="2"/>
        <v>5.6256366981386927E-4</v>
      </c>
    </row>
    <row r="16" spans="1:5" x14ac:dyDescent="0.25">
      <c r="A16">
        <v>4.6947403637900296</v>
      </c>
      <c r="B16">
        <v>271827.985325785</v>
      </c>
      <c r="C16">
        <f t="shared" si="0"/>
        <v>213.00432452300882</v>
      </c>
      <c r="D16">
        <f t="shared" si="1"/>
        <v>3.6787970848604976E-6</v>
      </c>
      <c r="E16">
        <f t="shared" si="2"/>
        <v>3.6787970848604977E-4</v>
      </c>
    </row>
    <row r="17" spans="1:5" x14ac:dyDescent="0.25">
      <c r="A17">
        <v>4.9137187230370998</v>
      </c>
      <c r="B17">
        <v>783869.57158115203</v>
      </c>
      <c r="C17">
        <f t="shared" si="0"/>
        <v>203.51185250219496</v>
      </c>
      <c r="D17">
        <f t="shared" si="1"/>
        <v>1.2757224368116354E-6</v>
      </c>
      <c r="E17">
        <f t="shared" si="2"/>
        <v>1.2757224368116355E-4</v>
      </c>
    </row>
    <row r="18" spans="1:5" x14ac:dyDescent="0.25">
      <c r="A18">
        <v>5.3180609603634297</v>
      </c>
      <c r="B18">
        <v>2039652.0754130699</v>
      </c>
      <c r="C18">
        <f t="shared" si="0"/>
        <v>188.03846128376483</v>
      </c>
      <c r="D18">
        <f t="shared" si="1"/>
        <v>4.9027969625529407E-7</v>
      </c>
      <c r="E18">
        <f t="shared" si="2"/>
        <v>4.9027969625529407E-5</v>
      </c>
    </row>
    <row r="19" spans="1:5" x14ac:dyDescent="0.25">
      <c r="A19">
        <v>5.5125988272789597</v>
      </c>
      <c r="B19">
        <v>4760390.5480401497</v>
      </c>
      <c r="C19">
        <f t="shared" si="0"/>
        <v>181.40264353203511</v>
      </c>
      <c r="D19">
        <f t="shared" si="1"/>
        <v>2.1006679807220848E-7</v>
      </c>
      <c r="E19">
        <f t="shared" si="2"/>
        <v>2.100667980722085E-5</v>
      </c>
    </row>
    <row r="20" spans="1:5" x14ac:dyDescent="0.25">
      <c r="A20">
        <v>5.5373562712401601</v>
      </c>
      <c r="B20">
        <v>7716346.7934284303</v>
      </c>
      <c r="C20">
        <f t="shared" si="0"/>
        <v>180.59159480017303</v>
      </c>
      <c r="D20">
        <f t="shared" si="1"/>
        <v>1.2959500483462493E-7</v>
      </c>
      <c r="E20">
        <f t="shared" si="2"/>
        <v>1.2959500483462493E-5</v>
      </c>
    </row>
    <row r="21" spans="1:5" x14ac:dyDescent="0.25">
      <c r="A21">
        <v>5.7721998203940696</v>
      </c>
      <c r="B21">
        <v>17750558.535622701</v>
      </c>
      <c r="C21">
        <f t="shared" si="0"/>
        <v>173.24417572427868</v>
      </c>
      <c r="D21">
        <f t="shared" si="1"/>
        <v>5.6336255447576505E-8</v>
      </c>
      <c r="E21">
        <f t="shared" si="2"/>
        <v>5.6336255447576507E-6</v>
      </c>
    </row>
    <row r="22" spans="1:5" x14ac:dyDescent="0.25">
      <c r="A22">
        <v>6.0718247609656402</v>
      </c>
      <c r="B22">
        <v>51249533.392011501</v>
      </c>
      <c r="C22">
        <f t="shared" si="0"/>
        <v>164.69513521351425</v>
      </c>
      <c r="D22">
        <f t="shared" si="1"/>
        <v>1.9512372773248988E-8</v>
      </c>
      <c r="E22">
        <f t="shared" si="2"/>
        <v>1.9512372773248986E-6</v>
      </c>
    </row>
    <row r="23" spans="1:5" x14ac:dyDescent="0.25">
      <c r="A23">
        <v>6.3065098343047197</v>
      </c>
      <c r="B23">
        <v>102928868.31159</v>
      </c>
      <c r="C23">
        <f t="shared" si="0"/>
        <v>158.56631104583823</v>
      </c>
      <c r="D23">
        <f t="shared" si="1"/>
        <v>9.7154473414860028E-9</v>
      </c>
      <c r="E23">
        <f t="shared" si="2"/>
        <v>9.7154473414860028E-7</v>
      </c>
    </row>
    <row r="24" spans="1:5" x14ac:dyDescent="0.25">
      <c r="A24">
        <v>6.54915391523304</v>
      </c>
      <c r="B24">
        <v>188857963.87117201</v>
      </c>
      <c r="C24">
        <f t="shared" si="0"/>
        <v>152.69147937935077</v>
      </c>
      <c r="D24">
        <f t="shared" si="1"/>
        <v>5.2949845455399601E-9</v>
      </c>
      <c r="E24">
        <f t="shared" si="2"/>
        <v>5.2949845455399605E-7</v>
      </c>
    </row>
    <row r="25" spans="1:5" x14ac:dyDescent="0.25">
      <c r="A25">
        <v>6.5822401436847304</v>
      </c>
      <c r="B25">
        <v>383894850.98949403</v>
      </c>
      <c r="C25">
        <f t="shared" si="0"/>
        <v>151.92396177757823</v>
      </c>
      <c r="D25">
        <f t="shared" si="1"/>
        <v>2.6048799493467728E-9</v>
      </c>
      <c r="E25">
        <f t="shared" si="2"/>
        <v>2.604879949346773E-7</v>
      </c>
    </row>
    <row r="26" spans="1:5" x14ac:dyDescent="0.25">
      <c r="A26">
        <v>7.1245619904562298</v>
      </c>
      <c r="B26">
        <v>2127841555.50214</v>
      </c>
      <c r="C26">
        <f t="shared" si="0"/>
        <v>140.35950579692602</v>
      </c>
      <c r="D26">
        <f t="shared" si="1"/>
        <v>4.6995980382759955E-10</v>
      </c>
      <c r="E26">
        <f t="shared" si="2"/>
        <v>4.6995980382759954E-8</v>
      </c>
    </row>
    <row r="27" spans="1:5" x14ac:dyDescent="0.25">
      <c r="A27">
        <v>7.64260182071102</v>
      </c>
      <c r="B27">
        <v>10933422753.687401</v>
      </c>
      <c r="C27">
        <f t="shared" si="0"/>
        <v>130.84549260306306</v>
      </c>
      <c r="D27">
        <f t="shared" si="1"/>
        <v>9.1462666589265517E-11</v>
      </c>
      <c r="E27">
        <f t="shared" si="2"/>
        <v>9.1462666589265521E-9</v>
      </c>
    </row>
    <row r="28" spans="1:5" x14ac:dyDescent="0.25">
      <c r="A28">
        <v>7.7969572643552603</v>
      </c>
      <c r="B28">
        <v>28772737038.205299</v>
      </c>
      <c r="C28">
        <f t="shared" si="0"/>
        <v>128.25515981363932</v>
      </c>
      <c r="D28">
        <f t="shared" si="1"/>
        <v>3.4755122485294677E-11</v>
      </c>
      <c r="E28">
        <f t="shared" si="2"/>
        <v>3.4755122485294677E-9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GaPECond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2024-04-17T20:02:08Z</dcterms:created>
  <dcterms:modified xsi:type="dcterms:W3CDTF">2024-04-17T20:02:09Z</dcterms:modified>
</cp:coreProperties>
</file>