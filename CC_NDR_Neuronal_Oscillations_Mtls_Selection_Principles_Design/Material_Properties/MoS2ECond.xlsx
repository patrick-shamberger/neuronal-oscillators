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40009_{BA462C72-9F52-4937-8966-304217F256DC}" xr6:coauthVersionLast="36" xr6:coauthVersionMax="36" xr10:uidLastSave="{00000000-0000-0000-0000-000000000000}"/>
  <bookViews>
    <workbookView xWindow="0" yWindow="0" windowWidth="12975" windowHeight="9240"/>
  </bookViews>
  <sheets>
    <sheet name="Sheet1" sheetId="2" r:id="rId1"/>
    <sheet name="MoS2ECond" sheetId="1" r:id="rId2"/>
  </sheets>
  <calcPr calcId="0"/>
</workbook>
</file>

<file path=xl/calcChain.xml><?xml version="1.0" encoding="utf-8"?>
<calcChain xmlns="http://schemas.openxmlformats.org/spreadsheetml/2006/main">
  <c r="C3" i="1" l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 s="1"/>
  <c r="C10" i="1"/>
  <c r="D10" i="1"/>
  <c r="E10" i="1"/>
  <c r="C11" i="1"/>
  <c r="D11" i="1"/>
  <c r="E11" i="1" s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E2" i="1"/>
  <c r="D2" i="1"/>
  <c r="C2" i="1"/>
</calcChain>
</file>

<file path=xl/sharedStrings.xml><?xml version="1.0" encoding="utf-8"?>
<sst xmlns="http://schemas.openxmlformats.org/spreadsheetml/2006/main" count="9" uniqueCount="7">
  <si>
    <t>1000/T</t>
  </si>
  <si>
    <t>ln(sigma) S/cm</t>
  </si>
  <si>
    <t>T</t>
  </si>
  <si>
    <t>sigma S/cm</t>
  </si>
  <si>
    <t>S/m</t>
  </si>
  <si>
    <t>https://onlinelibrary.wiley.com/doi/epdf/10.1002/pssb.2220790238</t>
  </si>
  <si>
    <t xml:space="preserve">unfilled trianges pointing 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</si>
</sst>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D5" sqref="D5"/>
    </sheetView>
  </sheetViews>
  <sheetFormatPr defaultRowHeight="15" x14ac:dyDescent="0.25"/>
  <sheetData>
    <row r="1" spans="1:4" x14ac:dyDescent="0.25">
      <c r="A1" t="s">
        <v>2</v>
      </c>
      <c r="B1" t="s">
        <v>4</v>
      </c>
    </row>
    <row r="2" spans="1:4" x14ac:dyDescent="0.25">
      <c r="A2">
        <v>287.97381691193584</v>
      </c>
      <c r="B2">
        <v>0.22396089811486847</v>
      </c>
    </row>
    <row r="3" spans="1:4" ht="18.75" x14ac:dyDescent="0.3">
      <c r="A3">
        <v>282.63944885342858</v>
      </c>
      <c r="B3">
        <v>0.18606893080496009</v>
      </c>
      <c r="D3" s="1" t="s">
        <v>5</v>
      </c>
    </row>
    <row r="4" spans="1:4" x14ac:dyDescent="0.25">
      <c r="A4">
        <v>278.91585847647474</v>
      </c>
      <c r="B4">
        <v>0.1422640609449943</v>
      </c>
      <c r="D4" t="s">
        <v>6</v>
      </c>
    </row>
    <row r="5" spans="1:4" x14ac:dyDescent="0.25">
      <c r="A5">
        <v>271.1453492542642</v>
      </c>
      <c r="B5">
        <v>0.11493165673846467</v>
      </c>
    </row>
    <row r="6" spans="1:4" x14ac:dyDescent="0.25">
      <c r="A6">
        <v>264.45150372030167</v>
      </c>
      <c r="B6">
        <v>9.6354637374385932E-2</v>
      </c>
    </row>
    <row r="7" spans="1:4" x14ac:dyDescent="0.25">
      <c r="A7">
        <v>257.46351772522212</v>
      </c>
      <c r="B7">
        <v>8.0775122984962963E-2</v>
      </c>
    </row>
    <row r="8" spans="1:4" x14ac:dyDescent="0.25">
      <c r="A8">
        <v>251.40798104595984</v>
      </c>
      <c r="B8">
        <v>6.3475281459890814E-2</v>
      </c>
    </row>
    <row r="9" spans="1:4" x14ac:dyDescent="0.25">
      <c r="A9">
        <v>245.09955118285518</v>
      </c>
      <c r="B9">
        <v>5.7829023555205951E-2</v>
      </c>
    </row>
    <row r="10" spans="1:4" x14ac:dyDescent="0.25">
      <c r="A10">
        <v>241.22464326801557</v>
      </c>
      <c r="B10">
        <v>4.8044925131945027E-2</v>
      </c>
    </row>
    <row r="11" spans="1:4" x14ac:dyDescent="0.25">
      <c r="A11">
        <v>239.56932627363253</v>
      </c>
      <c r="B11">
        <v>3.7080014118044492E-2</v>
      </c>
    </row>
    <row r="12" spans="1:4" x14ac:dyDescent="0.25">
      <c r="A12">
        <v>234.33339979592105</v>
      </c>
      <c r="B12">
        <v>3.1960844845007247E-2</v>
      </c>
    </row>
    <row r="13" spans="1:4" x14ac:dyDescent="0.25">
      <c r="A13">
        <v>231.79418759788879</v>
      </c>
      <c r="B13">
        <v>2.8595447000080775E-2</v>
      </c>
    </row>
    <row r="14" spans="1:4" x14ac:dyDescent="0.25">
      <c r="A14">
        <v>227.85761882340711</v>
      </c>
      <c r="B14">
        <v>2.6056852616261537E-2</v>
      </c>
    </row>
    <row r="15" spans="1:4" x14ac:dyDescent="0.25">
      <c r="A15">
        <v>223.08757355486372</v>
      </c>
      <c r="B15">
        <v>1.866799221989586E-2</v>
      </c>
    </row>
    <row r="16" spans="1:4" x14ac:dyDescent="0.25">
      <c r="A16">
        <v>218.97913649352213</v>
      </c>
      <c r="B16">
        <v>1.5507556699653978E-2</v>
      </c>
    </row>
    <row r="17" spans="1:2" x14ac:dyDescent="0.25">
      <c r="A17">
        <v>217.63179065992992</v>
      </c>
      <c r="B17">
        <v>1.3496852633658751E-2</v>
      </c>
    </row>
    <row r="18" spans="1:2" x14ac:dyDescent="0.25">
      <c r="A18">
        <v>214.16320974156173</v>
      </c>
      <c r="B18">
        <v>1.2761981591278176E-2</v>
      </c>
    </row>
    <row r="19" spans="1:2" x14ac:dyDescent="0.25">
      <c r="A19">
        <v>211.61362071704735</v>
      </c>
      <c r="B19">
        <v>1.0603462946284536E-2</v>
      </c>
    </row>
    <row r="20" spans="1:2" x14ac:dyDescent="0.25">
      <c r="A20">
        <v>208.30795078292479</v>
      </c>
      <c r="B20">
        <v>8.3335611319038747E-3</v>
      </c>
    </row>
    <row r="21" spans="1:2" x14ac:dyDescent="0.25">
      <c r="A21">
        <v>204.7142842505406</v>
      </c>
      <c r="B21">
        <v>6.5491596966140838E-3</v>
      </c>
    </row>
    <row r="22" spans="1:2" x14ac:dyDescent="0.25">
      <c r="A22">
        <v>200.12119755201013</v>
      </c>
      <c r="B22">
        <v>5.1458449076048352E-3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E1" sqref="E1:E1048576"/>
    </sheetView>
  </sheetViews>
  <sheetFormatPr defaultRowHeight="15" x14ac:dyDescent="0.25"/>
  <cols>
    <col min="4" max="4" width="9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3.47253792279944</v>
      </c>
      <c r="B2">
        <v>-6.1014539903400999</v>
      </c>
      <c r="C2">
        <f>1000/A2</f>
        <v>287.97381691193584</v>
      </c>
      <c r="D2">
        <f>EXP(B2)</f>
        <v>2.2396089811486846E-3</v>
      </c>
      <c r="E2">
        <f>D2*100</f>
        <v>0.22396089811486847</v>
      </c>
    </row>
    <row r="3" spans="1:5" x14ac:dyDescent="0.25">
      <c r="A3">
        <v>3.5380765284416502</v>
      </c>
      <c r="B3">
        <v>-6.28680826418507</v>
      </c>
      <c r="C3">
        <f t="shared" ref="C3:C22" si="0">1000/A3</f>
        <v>282.63944885342858</v>
      </c>
      <c r="D3">
        <f t="shared" ref="D3:D22" si="1">EXP(B3)</f>
        <v>1.8606893080496008E-3</v>
      </c>
      <c r="E3">
        <f t="shared" ref="E3:E22" si="2">D3*100</f>
        <v>0.18606893080496009</v>
      </c>
    </row>
    <row r="4" spans="1:5" x14ac:dyDescent="0.25">
      <c r="A4">
        <v>3.5853106577098601</v>
      </c>
      <c r="B4">
        <v>-6.5552405501353102</v>
      </c>
      <c r="C4">
        <f t="shared" si="0"/>
        <v>278.91585847647474</v>
      </c>
      <c r="D4">
        <f t="shared" si="1"/>
        <v>1.422640609449943E-3</v>
      </c>
      <c r="E4">
        <f t="shared" si="2"/>
        <v>0.1422640609449943</v>
      </c>
    </row>
    <row r="5" spans="1:5" x14ac:dyDescent="0.25">
      <c r="A5">
        <v>3.6880588317310901</v>
      </c>
      <c r="B5">
        <v>-6.7685878024975601</v>
      </c>
      <c r="C5">
        <f t="shared" si="0"/>
        <v>271.1453492542642</v>
      </c>
      <c r="D5">
        <f t="shared" si="1"/>
        <v>1.1493165673846467E-3</v>
      </c>
      <c r="E5">
        <f t="shared" si="2"/>
        <v>0.11493165673846467</v>
      </c>
    </row>
    <row r="6" spans="1:5" x14ac:dyDescent="0.25">
      <c r="A6">
        <v>3.7814116612384798</v>
      </c>
      <c r="B6">
        <v>-6.9448899407607101</v>
      </c>
      <c r="C6">
        <f t="shared" si="0"/>
        <v>264.45150372030167</v>
      </c>
      <c r="D6">
        <f t="shared" si="1"/>
        <v>9.6354637374385934E-4</v>
      </c>
      <c r="E6">
        <f t="shared" si="2"/>
        <v>9.6354637374385932E-2</v>
      </c>
    </row>
    <row r="7" spans="1:5" x14ac:dyDescent="0.25">
      <c r="A7">
        <v>3.8840454322823699</v>
      </c>
      <c r="B7">
        <v>-7.1212564306986099</v>
      </c>
      <c r="C7">
        <f t="shared" si="0"/>
        <v>257.46351772522212</v>
      </c>
      <c r="D7">
        <f t="shared" si="1"/>
        <v>8.0775122984962967E-4</v>
      </c>
      <c r="E7">
        <f t="shared" si="2"/>
        <v>8.0775122984962963E-2</v>
      </c>
    </row>
    <row r="8" spans="1:5" x14ac:dyDescent="0.25">
      <c r="A8">
        <v>3.9775984670000999</v>
      </c>
      <c r="B8">
        <v>-7.3622749032043497</v>
      </c>
      <c r="C8">
        <f t="shared" si="0"/>
        <v>251.40798104595984</v>
      </c>
      <c r="D8">
        <f t="shared" si="1"/>
        <v>6.3475281459890811E-4</v>
      </c>
      <c r="E8">
        <f t="shared" si="2"/>
        <v>6.3475281459890814E-2</v>
      </c>
    </row>
    <row r="9" spans="1:5" x14ac:dyDescent="0.25">
      <c r="A9">
        <v>4.0799748313449804</v>
      </c>
      <c r="B9">
        <v>-7.4554346776874896</v>
      </c>
      <c r="C9">
        <f t="shared" si="0"/>
        <v>245.09955118285518</v>
      </c>
      <c r="D9">
        <f t="shared" si="1"/>
        <v>5.7829023555205949E-4</v>
      </c>
      <c r="E9">
        <f t="shared" si="2"/>
        <v>5.7829023555205951E-2</v>
      </c>
    </row>
    <row r="10" spans="1:5" x14ac:dyDescent="0.25">
      <c r="A10">
        <v>4.1455134369871898</v>
      </c>
      <c r="B10">
        <v>-7.6407889515324596</v>
      </c>
      <c r="C10">
        <f t="shared" si="0"/>
        <v>241.22464326801557</v>
      </c>
      <c r="D10">
        <f t="shared" si="1"/>
        <v>4.8044925131945026E-4</v>
      </c>
      <c r="E10">
        <f t="shared" si="2"/>
        <v>4.8044925131945027E-2</v>
      </c>
    </row>
    <row r="11" spans="1:5" x14ac:dyDescent="0.25">
      <c r="A11">
        <v>4.1741570824380698</v>
      </c>
      <c r="B11">
        <v>-7.8998473435271102</v>
      </c>
      <c r="C11">
        <f t="shared" si="0"/>
        <v>239.56932627363253</v>
      </c>
      <c r="D11">
        <f t="shared" si="1"/>
        <v>3.708001411804449E-4</v>
      </c>
      <c r="E11">
        <f t="shared" si="2"/>
        <v>3.7080014118044492E-2</v>
      </c>
    </row>
    <row r="12" spans="1:5" x14ac:dyDescent="0.25">
      <c r="A12">
        <v>4.2674241097124499</v>
      </c>
      <c r="B12">
        <v>-8.048413909972</v>
      </c>
      <c r="C12">
        <f t="shared" si="0"/>
        <v>234.33339979592105</v>
      </c>
      <c r="D12">
        <f t="shared" si="1"/>
        <v>3.1960844845007247E-4</v>
      </c>
      <c r="E12">
        <f t="shared" si="2"/>
        <v>3.1960844845007247E-2</v>
      </c>
    </row>
    <row r="13" spans="1:5" x14ac:dyDescent="0.25">
      <c r="A13">
        <v>4.3141720263269798</v>
      </c>
      <c r="B13">
        <v>-8.1596779556187897</v>
      </c>
      <c r="C13">
        <f t="shared" si="0"/>
        <v>231.79418759788879</v>
      </c>
      <c r="D13">
        <f t="shared" si="1"/>
        <v>2.8595447000080774E-4</v>
      </c>
      <c r="E13">
        <f t="shared" si="2"/>
        <v>2.8595447000080775E-2</v>
      </c>
    </row>
    <row r="14" spans="1:5" x14ac:dyDescent="0.25">
      <c r="A14">
        <v>4.3887055660623497</v>
      </c>
      <c r="B14">
        <v>-8.2526446750776596</v>
      </c>
      <c r="C14">
        <f t="shared" si="0"/>
        <v>227.85761882340711</v>
      </c>
      <c r="D14">
        <f t="shared" si="1"/>
        <v>2.6056852616261535E-4</v>
      </c>
      <c r="E14">
        <f t="shared" si="2"/>
        <v>2.6056852616261537E-2</v>
      </c>
    </row>
    <row r="15" spans="1:5" x14ac:dyDescent="0.25">
      <c r="A15">
        <v>4.4825446082234199</v>
      </c>
      <c r="B15">
        <v>-8.5861150536442707</v>
      </c>
      <c r="C15">
        <f t="shared" si="0"/>
        <v>223.08757355486372</v>
      </c>
      <c r="D15">
        <f t="shared" si="1"/>
        <v>1.8667992219895859E-4</v>
      </c>
      <c r="E15">
        <f t="shared" si="2"/>
        <v>1.866799221989586E-2</v>
      </c>
    </row>
    <row r="16" spans="1:5" x14ac:dyDescent="0.25">
      <c r="A16">
        <v>4.5666450969386396</v>
      </c>
      <c r="B16">
        <v>-8.7715980308387493</v>
      </c>
      <c r="C16">
        <f t="shared" si="0"/>
        <v>218.97913649352213</v>
      </c>
      <c r="D16">
        <f t="shared" si="1"/>
        <v>1.5507556699653977E-4</v>
      </c>
      <c r="E16">
        <f t="shared" si="2"/>
        <v>1.5507556699653978E-2</v>
      </c>
    </row>
    <row r="17" spans="1:5" x14ac:dyDescent="0.25">
      <c r="A17">
        <v>4.5949169327131703</v>
      </c>
      <c r="B17">
        <v>-8.9104689449542906</v>
      </c>
      <c r="C17">
        <f t="shared" si="0"/>
        <v>217.63179065992992</v>
      </c>
      <c r="D17">
        <f t="shared" si="1"/>
        <v>1.349685263365875E-4</v>
      </c>
      <c r="E17">
        <f t="shared" si="2"/>
        <v>1.3496852633658751E-2</v>
      </c>
    </row>
    <row r="18" spans="1:5" x14ac:dyDescent="0.25">
      <c r="A18">
        <v>4.6693360694711998</v>
      </c>
      <c r="B18">
        <v>-8.9664549019888202</v>
      </c>
      <c r="C18">
        <f t="shared" si="0"/>
        <v>214.16320974156173</v>
      </c>
      <c r="D18">
        <f t="shared" si="1"/>
        <v>1.2761981591278177E-4</v>
      </c>
      <c r="E18">
        <f t="shared" si="2"/>
        <v>1.2761981591278176E-2</v>
      </c>
    </row>
    <row r="19" spans="1:5" x14ac:dyDescent="0.25">
      <c r="A19">
        <v>4.7255937335769103</v>
      </c>
      <c r="B19">
        <v>-9.1517448241590493</v>
      </c>
      <c r="C19">
        <f t="shared" si="0"/>
        <v>211.61362071704735</v>
      </c>
      <c r="D19">
        <f t="shared" si="1"/>
        <v>1.0603462946284537E-4</v>
      </c>
      <c r="E19">
        <f t="shared" si="2"/>
        <v>1.0603462946284536E-2</v>
      </c>
    </row>
    <row r="20" spans="1:5" x14ac:dyDescent="0.25">
      <c r="A20">
        <v>4.80058488522163</v>
      </c>
      <c r="B20">
        <v>-9.3926345933152895</v>
      </c>
      <c r="C20">
        <f t="shared" si="0"/>
        <v>208.30795078292479</v>
      </c>
      <c r="D20">
        <f t="shared" si="1"/>
        <v>8.333561131903874E-5</v>
      </c>
      <c r="E20">
        <f t="shared" si="2"/>
        <v>8.3335611319038747E-3</v>
      </c>
    </row>
    <row r="21" spans="1:5" x14ac:dyDescent="0.25">
      <c r="A21">
        <v>4.8848569784028602</v>
      </c>
      <c r="B21">
        <v>-9.6335887141462795</v>
      </c>
      <c r="C21">
        <f t="shared" si="0"/>
        <v>204.7142842505406</v>
      </c>
      <c r="D21">
        <f t="shared" si="1"/>
        <v>6.5491596966140841E-5</v>
      </c>
      <c r="E21">
        <f t="shared" si="2"/>
        <v>6.5491596966140838E-3</v>
      </c>
    </row>
    <row r="22" spans="1:5" x14ac:dyDescent="0.25">
      <c r="A22">
        <v>4.9969718961935898</v>
      </c>
      <c r="B22">
        <v>-9.8747358900015296</v>
      </c>
      <c r="C22">
        <f t="shared" si="0"/>
        <v>200.12119755201013</v>
      </c>
      <c r="D22">
        <f t="shared" si="1"/>
        <v>5.1458449076048355E-5</v>
      </c>
      <c r="E22">
        <f t="shared" si="2"/>
        <v>5.1458449076048352E-3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MoS2ECond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2024-05-02T20:50:37Z</dcterms:created>
  <dcterms:modified xsi:type="dcterms:W3CDTF">2024-05-02T20:52:30Z</dcterms:modified>
</cp:coreProperties>
</file>