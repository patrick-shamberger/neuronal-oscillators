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40009_{9B45CF93-25E3-45A6-B908-5D77CD6E7EB3}" xr6:coauthVersionLast="36" xr6:coauthVersionMax="36" xr10:uidLastSave="{00000000-0000-0000-0000-000000000000}"/>
  <bookViews>
    <workbookView xWindow="0" yWindow="0" windowWidth="12960" windowHeight="6165"/>
  </bookViews>
  <sheets>
    <sheet name="Sheet1" sheetId="2" r:id="rId1"/>
    <sheet name="B-Ga2O3Cth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F4" i="1"/>
  <c r="F3" i="1"/>
</calcChain>
</file>

<file path=xl/sharedStrings.xml><?xml version="1.0" encoding="utf-8"?>
<sst xmlns="http://schemas.openxmlformats.org/spreadsheetml/2006/main" count="6" uniqueCount="5">
  <si>
    <t>T(K)</t>
  </si>
  <si>
    <t>Cv (J/molK)</t>
  </si>
  <si>
    <t>MW</t>
  </si>
  <si>
    <t xml:space="preserve">Density </t>
  </si>
  <si>
    <t>https://www.researchgate.net/figure/Measured-heat-capacity-of-b-Ga-2-O-3-as-a-function-of-temperature-The-solid-line-is-the_fig4_269997481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</si>
</sst>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F7" sqref="F7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>
        <v>137.28243964580699</v>
      </c>
      <c r="B2">
        <v>281881.31093240605</v>
      </c>
    </row>
    <row r="3" spans="1:4" x14ac:dyDescent="0.25">
      <c r="A3">
        <v>155.08663337319101</v>
      </c>
      <c r="B3">
        <v>337326.37317764788</v>
      </c>
    </row>
    <row r="4" spans="1:4" x14ac:dyDescent="0.25">
      <c r="A4">
        <v>177.01109000961199</v>
      </c>
      <c r="B4">
        <v>418451.93207229103</v>
      </c>
    </row>
    <row r="5" spans="1:4" x14ac:dyDescent="0.25">
      <c r="A5">
        <v>197.82420107383101</v>
      </c>
      <c r="B5">
        <v>472318.14320608962</v>
      </c>
    </row>
    <row r="6" spans="1:4" x14ac:dyDescent="0.25">
      <c r="A6">
        <v>217.11409658233799</v>
      </c>
      <c r="B6">
        <v>522164.72829595668</v>
      </c>
    </row>
    <row r="7" spans="1:4" x14ac:dyDescent="0.25">
      <c r="A7">
        <v>236.407118238728</v>
      </c>
      <c r="B7">
        <v>572812.82198576583</v>
      </c>
    </row>
    <row r="8" spans="1:4" x14ac:dyDescent="0.25">
      <c r="A8">
        <v>257.60396395551402</v>
      </c>
      <c r="B8">
        <v>596225.73400316876</v>
      </c>
    </row>
    <row r="9" spans="1:4" x14ac:dyDescent="0.25">
      <c r="A9">
        <v>276.331934382155</v>
      </c>
      <c r="B9">
        <v>630839.62801272899</v>
      </c>
      <c r="D9" t="s">
        <v>4</v>
      </c>
    </row>
    <row r="10" spans="1:4" x14ac:dyDescent="0.25">
      <c r="A10">
        <v>295.56868537666099</v>
      </c>
      <c r="B10">
        <v>667060.56690358068</v>
      </c>
    </row>
    <row r="11" spans="1:4" x14ac:dyDescent="0.25">
      <c r="A11">
        <v>309.44252967886598</v>
      </c>
      <c r="B11">
        <v>616678.30018661649</v>
      </c>
    </row>
    <row r="12" spans="1:4" x14ac:dyDescent="0.25">
      <c r="A12">
        <v>330.73315983212501</v>
      </c>
      <c r="B12">
        <v>664136.47020228545</v>
      </c>
    </row>
    <row r="13" spans="1:4" x14ac:dyDescent="0.25">
      <c r="A13">
        <v>352.32311864512701</v>
      </c>
      <c r="B13">
        <v>659500.6089031226</v>
      </c>
    </row>
    <row r="14" spans="1:4" x14ac:dyDescent="0.25">
      <c r="A14">
        <v>372.52741240924303</v>
      </c>
      <c r="B14">
        <v>686111.49995748326</v>
      </c>
    </row>
    <row r="15" spans="1:4" x14ac:dyDescent="0.25">
      <c r="A15">
        <v>388.70835384867797</v>
      </c>
      <c r="B15">
        <v>711888.66096064541</v>
      </c>
    </row>
    <row r="16" spans="1:4" x14ac:dyDescent="0.25">
      <c r="A16">
        <v>409.79265824169801</v>
      </c>
      <c r="B16">
        <v>706447.26338013343</v>
      </c>
    </row>
    <row r="17" spans="1:2" x14ac:dyDescent="0.25">
      <c r="A17">
        <v>431.48577993481899</v>
      </c>
      <c r="B17">
        <v>728261.18587905937</v>
      </c>
    </row>
    <row r="18" spans="1:2" x14ac:dyDescent="0.25">
      <c r="A18">
        <v>446.61789875969998</v>
      </c>
      <c r="B18">
        <v>742809.17112022161</v>
      </c>
    </row>
    <row r="19" spans="1:2" x14ac:dyDescent="0.25">
      <c r="A19">
        <v>472.74936890889597</v>
      </c>
      <c r="B19">
        <v>743018.61055337125</v>
      </c>
    </row>
    <row r="20" spans="1:2" x14ac:dyDescent="0.25">
      <c r="A20">
        <v>493.02869022218999</v>
      </c>
      <c r="B20">
        <v>788865.70800634206</v>
      </c>
    </row>
    <row r="21" spans="1:2" x14ac:dyDescent="0.25">
      <c r="A21">
        <v>510.22719279735497</v>
      </c>
      <c r="B21">
        <v>817856.95877208654</v>
      </c>
    </row>
    <row r="22" spans="1:2" x14ac:dyDescent="0.25">
      <c r="A22">
        <v>522.60595687478894</v>
      </c>
      <c r="B22">
        <v>770668.64341067313</v>
      </c>
    </row>
    <row r="23" spans="1:2" x14ac:dyDescent="0.25">
      <c r="A23">
        <v>542.71334005455105</v>
      </c>
      <c r="B23">
        <v>772432.76786682568</v>
      </c>
    </row>
    <row r="24" spans="1:2" x14ac:dyDescent="0.25">
      <c r="A24">
        <v>561.79378365493505</v>
      </c>
      <c r="B24">
        <v>768578.27676056954</v>
      </c>
    </row>
    <row r="25" spans="1:2" x14ac:dyDescent="0.25">
      <c r="A25">
        <v>600.79404156213604</v>
      </c>
      <c r="B25">
        <v>718397.39411394461</v>
      </c>
    </row>
    <row r="26" spans="1:2" x14ac:dyDescent="0.25">
      <c r="A26">
        <v>624.60981766742395</v>
      </c>
      <c r="B26">
        <v>769081.7369364138</v>
      </c>
    </row>
    <row r="27" spans="1:2" x14ac:dyDescent="0.25">
      <c r="A27">
        <v>643.35341883347701</v>
      </c>
      <c r="B27">
        <v>807703.17394568434</v>
      </c>
    </row>
    <row r="28" spans="1:2" x14ac:dyDescent="0.25">
      <c r="A28">
        <v>669.37547380678802</v>
      </c>
      <c r="B28">
        <v>779859.81238086126</v>
      </c>
    </row>
    <row r="29" spans="1:2" x14ac:dyDescent="0.25">
      <c r="A29">
        <v>693.20688065148897</v>
      </c>
      <c r="B29">
        <v>834551.69820304413</v>
      </c>
    </row>
    <row r="30" spans="1:2" x14ac:dyDescent="0.25">
      <c r="A30">
        <v>711.51047650309101</v>
      </c>
      <c r="B30">
        <v>889199.27952974965</v>
      </c>
    </row>
    <row r="31" spans="1:2" x14ac:dyDescent="0.25">
      <c r="A31">
        <v>742.21471946730401</v>
      </c>
      <c r="B31">
        <v>902269.10569463612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sqref="A1:A1048576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137.28243964580699</v>
      </c>
      <c r="B2">
        <v>8.2044969637288698</v>
      </c>
      <c r="C2">
        <f>B2*$F$4/$F$3</f>
        <v>281881.31093240605</v>
      </c>
    </row>
    <row r="3" spans="1:6" x14ac:dyDescent="0.25">
      <c r="A3">
        <v>155.08663337319101</v>
      </c>
      <c r="B3">
        <v>9.8182926543340105</v>
      </c>
      <c r="C3">
        <f t="shared" ref="C3:C31" si="0">B3*$F$4/$F$3</f>
        <v>337326.37317764788</v>
      </c>
      <c r="E3" t="s">
        <v>2</v>
      </c>
      <c r="F3">
        <f>187.444</f>
        <v>187.44399999999999</v>
      </c>
    </row>
    <row r="4" spans="1:6" x14ac:dyDescent="0.25">
      <c r="A4">
        <v>177.01109000961199</v>
      </c>
      <c r="B4">
        <v>12.179550303627099</v>
      </c>
      <c r="C4">
        <f t="shared" si="0"/>
        <v>418451.93207229103</v>
      </c>
      <c r="E4" t="s">
        <v>3</v>
      </c>
      <c r="F4">
        <f>6.44*10^6</f>
        <v>6440000</v>
      </c>
    </row>
    <row r="5" spans="1:6" x14ac:dyDescent="0.25">
      <c r="A5">
        <v>197.82420107383101</v>
      </c>
      <c r="B5">
        <v>13.747391620360601</v>
      </c>
      <c r="C5">
        <f t="shared" si="0"/>
        <v>472318.14320608962</v>
      </c>
    </row>
    <row r="6" spans="1:6" x14ac:dyDescent="0.25">
      <c r="A6">
        <v>217.11409658233799</v>
      </c>
      <c r="B6">
        <v>15.198236852594301</v>
      </c>
      <c r="C6">
        <f t="shared" si="0"/>
        <v>522164.72829595668</v>
      </c>
    </row>
    <row r="7" spans="1:6" x14ac:dyDescent="0.25">
      <c r="A7">
        <v>236.407118238728</v>
      </c>
      <c r="B7">
        <v>16.672410963400601</v>
      </c>
      <c r="C7">
        <f t="shared" si="0"/>
        <v>572812.82198576583</v>
      </c>
    </row>
    <row r="8" spans="1:6" x14ac:dyDescent="0.25">
      <c r="A8">
        <v>257.60396395551402</v>
      </c>
      <c r="B8">
        <v>17.353872124920802</v>
      </c>
      <c r="C8">
        <f t="shared" si="0"/>
        <v>596225.73400316876</v>
      </c>
    </row>
    <row r="9" spans="1:6" x14ac:dyDescent="0.25">
      <c r="A9">
        <v>276.331934382155</v>
      </c>
      <c r="B9">
        <v>18.361351433729499</v>
      </c>
      <c r="C9">
        <f t="shared" si="0"/>
        <v>630839.62801272899</v>
      </c>
    </row>
    <row r="10" spans="1:6" x14ac:dyDescent="0.25">
      <c r="A10">
        <v>295.56868537666099</v>
      </c>
      <c r="B10">
        <v>19.415605730229</v>
      </c>
      <c r="C10">
        <f t="shared" si="0"/>
        <v>667060.56690358068</v>
      </c>
    </row>
    <row r="11" spans="1:6" x14ac:dyDescent="0.25">
      <c r="A11">
        <v>309.44252967886598</v>
      </c>
      <c r="B11">
        <v>17.949168835431699</v>
      </c>
      <c r="C11">
        <f t="shared" si="0"/>
        <v>616678.30018661649</v>
      </c>
    </row>
    <row r="12" spans="1:6" x14ac:dyDescent="0.25">
      <c r="A12">
        <v>330.73315983212501</v>
      </c>
      <c r="B12">
        <v>19.330496354129998</v>
      </c>
      <c r="C12">
        <f t="shared" si="0"/>
        <v>664136.47020228545</v>
      </c>
    </row>
    <row r="13" spans="1:6" x14ac:dyDescent="0.25">
      <c r="A13">
        <v>352.32311864512701</v>
      </c>
      <c r="B13">
        <v>19.195563996154799</v>
      </c>
      <c r="C13">
        <f t="shared" si="0"/>
        <v>659500.6089031226</v>
      </c>
    </row>
    <row r="14" spans="1:6" x14ac:dyDescent="0.25">
      <c r="A14">
        <v>372.52741240924303</v>
      </c>
      <c r="B14">
        <v>19.970106210874299</v>
      </c>
      <c r="C14">
        <f t="shared" si="0"/>
        <v>686111.49995748326</v>
      </c>
    </row>
    <row r="15" spans="1:6" x14ac:dyDescent="0.25">
      <c r="A15">
        <v>388.70835384867797</v>
      </c>
      <c r="B15">
        <v>20.7203817026564</v>
      </c>
      <c r="C15">
        <f t="shared" si="0"/>
        <v>711888.66096064541</v>
      </c>
    </row>
    <row r="16" spans="1:6" x14ac:dyDescent="0.25">
      <c r="A16">
        <v>409.79265824169801</v>
      </c>
      <c r="B16">
        <v>20.562003235563001</v>
      </c>
      <c r="C16">
        <f t="shared" si="0"/>
        <v>706447.26338013343</v>
      </c>
    </row>
    <row r="17" spans="1:3" x14ac:dyDescent="0.25">
      <c r="A17">
        <v>431.48577993481899</v>
      </c>
      <c r="B17">
        <v>21.196923870483602</v>
      </c>
      <c r="C17">
        <f t="shared" si="0"/>
        <v>728261.18587905937</v>
      </c>
    </row>
    <row r="18" spans="1:3" x14ac:dyDescent="0.25">
      <c r="A18">
        <v>446.61789875969998</v>
      </c>
      <c r="B18">
        <v>21.6203606011582</v>
      </c>
      <c r="C18">
        <f t="shared" si="0"/>
        <v>742809.17112022161</v>
      </c>
    </row>
    <row r="19" spans="1:3" x14ac:dyDescent="0.25">
      <c r="A19">
        <v>472.74936890889597</v>
      </c>
      <c r="B19">
        <v>21.6264565895289</v>
      </c>
      <c r="C19">
        <f t="shared" si="0"/>
        <v>743018.61055337125</v>
      </c>
    </row>
    <row r="20" spans="1:3" x14ac:dyDescent="0.25">
      <c r="A20">
        <v>493.02869022218999</v>
      </c>
      <c r="B20">
        <v>22.960891889990801</v>
      </c>
      <c r="C20">
        <f t="shared" si="0"/>
        <v>788865.70800634206</v>
      </c>
    </row>
    <row r="21" spans="1:3" x14ac:dyDescent="0.25">
      <c r="A21">
        <v>510.22719279735497</v>
      </c>
      <c r="B21">
        <v>23.804717357154502</v>
      </c>
      <c r="C21">
        <f t="shared" si="0"/>
        <v>817856.95877208654</v>
      </c>
    </row>
    <row r="22" spans="1:3" x14ac:dyDescent="0.25">
      <c r="A22">
        <v>522.60595687478894</v>
      </c>
      <c r="B22">
        <v>22.431244285010902</v>
      </c>
      <c r="C22">
        <f t="shared" si="0"/>
        <v>770668.64341067313</v>
      </c>
    </row>
    <row r="23" spans="1:3" x14ac:dyDescent="0.25">
      <c r="A23">
        <v>542.71334005455105</v>
      </c>
      <c r="B23">
        <v>22.4825912639797</v>
      </c>
      <c r="C23">
        <f t="shared" si="0"/>
        <v>772432.76786682568</v>
      </c>
    </row>
    <row r="24" spans="1:3" x14ac:dyDescent="0.25">
      <c r="A24">
        <v>561.79378365493505</v>
      </c>
      <c r="B24">
        <v>22.370401631849099</v>
      </c>
      <c r="C24">
        <f t="shared" si="0"/>
        <v>768578.27676056954</v>
      </c>
    </row>
    <row r="25" spans="1:3" x14ac:dyDescent="0.25">
      <c r="A25">
        <v>600.79404156213604</v>
      </c>
      <c r="B25">
        <v>20.9098262643314</v>
      </c>
      <c r="C25">
        <f t="shared" si="0"/>
        <v>718397.39411394461</v>
      </c>
    </row>
    <row r="26" spans="1:3" x14ac:dyDescent="0.25">
      <c r="A26">
        <v>624.60981766742395</v>
      </c>
      <c r="B26">
        <v>22.385055450048</v>
      </c>
      <c r="C26">
        <f t="shared" si="0"/>
        <v>769081.7369364138</v>
      </c>
    </row>
    <row r="27" spans="1:3" x14ac:dyDescent="0.25">
      <c r="A27">
        <v>643.35341883347701</v>
      </c>
      <c r="B27">
        <v>23.5091791517197</v>
      </c>
      <c r="C27">
        <f t="shared" si="0"/>
        <v>807703.17394568434</v>
      </c>
    </row>
    <row r="28" spans="1:3" x14ac:dyDescent="0.25">
      <c r="A28">
        <v>669.37547380678802</v>
      </c>
      <c r="B28">
        <v>22.698764390049401</v>
      </c>
      <c r="C28">
        <f t="shared" si="0"/>
        <v>779859.81238086126</v>
      </c>
    </row>
    <row r="29" spans="1:3" x14ac:dyDescent="0.25">
      <c r="A29">
        <v>693.20688065148897</v>
      </c>
      <c r="B29">
        <v>24.290637968629099</v>
      </c>
      <c r="C29">
        <f t="shared" si="0"/>
        <v>834551.69820304413</v>
      </c>
    </row>
    <row r="30" spans="1:3" x14ac:dyDescent="0.25">
      <c r="A30">
        <v>711.51047650309101</v>
      </c>
      <c r="B30">
        <v>25.8812220112072</v>
      </c>
      <c r="C30">
        <f t="shared" si="0"/>
        <v>889199.27952974965</v>
      </c>
    </row>
    <row r="31" spans="1:3" x14ac:dyDescent="0.25">
      <c r="A31">
        <v>742.21471946730401</v>
      </c>
      <c r="B31">
        <v>26.2616351316499</v>
      </c>
      <c r="C31">
        <f t="shared" si="0"/>
        <v>902269.10569463612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B-Ga2O3Cth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2024-04-10T21:41:31Z</dcterms:created>
  <dcterms:modified xsi:type="dcterms:W3CDTF">2024-04-10T21:41:40Z</dcterms:modified>
</cp:coreProperties>
</file>