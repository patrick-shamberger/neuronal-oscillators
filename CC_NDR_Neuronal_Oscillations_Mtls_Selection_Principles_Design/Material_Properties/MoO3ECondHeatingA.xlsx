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9_{0E9B373C-CC70-BC43-A2BE-BB4FCB63239A}" xr6:coauthVersionLast="47" xr6:coauthVersionMax="47" xr10:uidLastSave="{00000000-0000-0000-0000-000000000000}"/>
  <bookViews>
    <workbookView xWindow="3760" yWindow="1400" windowWidth="25640" windowHeight="13840" xr2:uid="{8914337C-A815-884A-A8FA-57F384093949}"/>
  </bookViews>
  <sheets>
    <sheet name="Sheet1" sheetId="2" r:id="rId1"/>
    <sheet name="MoO3ECondHeating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E4" i="1" s="1"/>
  <c r="D5" i="1"/>
  <c r="D6" i="1"/>
  <c r="E6" i="1" s="1"/>
  <c r="D7" i="1"/>
  <c r="E7" i="1" s="1"/>
  <c r="D8" i="1"/>
  <c r="E8" i="1" s="1"/>
  <c r="D9" i="1"/>
  <c r="E9" i="1" s="1"/>
  <c r="D10" i="1"/>
  <c r="E10" i="1" s="1"/>
  <c r="D11" i="1"/>
  <c r="D12" i="1"/>
  <c r="E12" i="1" s="1"/>
  <c r="D13" i="1"/>
  <c r="D14" i="1"/>
  <c r="D15" i="1"/>
  <c r="D16" i="1"/>
  <c r="E16" i="1" s="1"/>
  <c r="D17" i="1"/>
  <c r="E17" i="1" s="1"/>
  <c r="D18" i="1"/>
  <c r="E18" i="1" s="1"/>
  <c r="D19" i="1"/>
  <c r="D20" i="1"/>
  <c r="E20" i="1" s="1"/>
  <c r="D21" i="1"/>
  <c r="D22" i="1"/>
  <c r="D23" i="1"/>
  <c r="D24" i="1"/>
  <c r="E24" i="1" s="1"/>
  <c r="D25" i="1"/>
  <c r="E25" i="1" s="1"/>
  <c r="D26" i="1"/>
  <c r="E26" i="1" s="1"/>
  <c r="D27" i="1"/>
  <c r="D28" i="1"/>
  <c r="E28" i="1" s="1"/>
  <c r="D29" i="1"/>
  <c r="D30" i="1"/>
  <c r="D2" i="1"/>
  <c r="E2" i="1" s="1"/>
  <c r="C3" i="1"/>
  <c r="E3" i="1"/>
  <c r="C4" i="1"/>
  <c r="C5" i="1"/>
  <c r="E5" i="1"/>
  <c r="C6" i="1"/>
  <c r="C7" i="1"/>
  <c r="C8" i="1"/>
  <c r="C9" i="1"/>
  <c r="C10" i="1"/>
  <c r="C11" i="1"/>
  <c r="E11" i="1"/>
  <c r="C12" i="1"/>
  <c r="C13" i="1"/>
  <c r="E13" i="1"/>
  <c r="C14" i="1"/>
  <c r="E14" i="1"/>
  <c r="C15" i="1"/>
  <c r="E15" i="1"/>
  <c r="C16" i="1"/>
  <c r="C17" i="1"/>
  <c r="C18" i="1"/>
  <c r="C19" i="1"/>
  <c r="E19" i="1"/>
  <c r="C20" i="1"/>
  <c r="C21" i="1"/>
  <c r="E21" i="1"/>
  <c r="C22" i="1"/>
  <c r="E22" i="1"/>
  <c r="C23" i="1"/>
  <c r="E23" i="1"/>
  <c r="C24" i="1"/>
  <c r="C25" i="1"/>
  <c r="C26" i="1"/>
  <c r="C27" i="1"/>
  <c r="E27" i="1"/>
  <c r="C28" i="1"/>
  <c r="C29" i="1"/>
  <c r="E29" i="1"/>
  <c r="C30" i="1"/>
  <c r="E30" i="1"/>
  <c r="C2" i="1"/>
</calcChain>
</file>

<file path=xl/sharedStrings.xml><?xml version="1.0" encoding="utf-8"?>
<sst xmlns="http://schemas.openxmlformats.org/spreadsheetml/2006/main" count="7" uniqueCount="5">
  <si>
    <t>log S/cm</t>
  </si>
  <si>
    <t>T (K)</t>
  </si>
  <si>
    <t>S/cm</t>
  </si>
  <si>
    <t>S/m</t>
  </si>
  <si>
    <t>1000/t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</si>
</sst>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E208-3354-DA4E-9208-2963A4F1BF6D}">
  <dimension ref="A1:B30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>
        <v>796.8413496051719</v>
      </c>
      <c r="B2">
        <v>0.29682953657674482</v>
      </c>
    </row>
    <row r="3" spans="1:2" x14ac:dyDescent="0.2">
      <c r="A3">
        <v>778.40112201963814</v>
      </c>
      <c r="B3">
        <v>0.28832498257245714</v>
      </c>
    </row>
    <row r="4" spans="1:2" x14ac:dyDescent="0.2">
      <c r="A4">
        <v>764.989662301865</v>
      </c>
      <c r="B4">
        <v>0.25297085948169068</v>
      </c>
    </row>
    <row r="5" spans="1:2" x14ac:dyDescent="0.2">
      <c r="A5">
        <v>747.47474747475189</v>
      </c>
      <c r="B5">
        <v>0.2271739815911237</v>
      </c>
    </row>
    <row r="6" spans="1:2" x14ac:dyDescent="0.2">
      <c r="A6">
        <v>741.97860962567268</v>
      </c>
      <c r="B6">
        <v>0.21496680148453653</v>
      </c>
    </row>
    <row r="7" spans="1:2" x14ac:dyDescent="0.2">
      <c r="A7">
        <v>734.12698412698523</v>
      </c>
      <c r="B7">
        <v>0.19931813352504868</v>
      </c>
    </row>
    <row r="8" spans="1:2" x14ac:dyDescent="0.2">
      <c r="A8">
        <v>717.98188874515029</v>
      </c>
      <c r="B8">
        <v>0.17487794189130595</v>
      </c>
    </row>
    <row r="9" spans="1:2" x14ac:dyDescent="0.2">
      <c r="A9">
        <v>707.45697896749698</v>
      </c>
      <c r="B9">
        <v>0.16452157951108975</v>
      </c>
    </row>
    <row r="10" spans="1:2" x14ac:dyDescent="0.2">
      <c r="A10">
        <v>692.45165315034512</v>
      </c>
      <c r="B10">
        <v>0.15210230778239897</v>
      </c>
    </row>
    <row r="11" spans="1:2" x14ac:dyDescent="0.2">
      <c r="A11">
        <v>689.44099378882004</v>
      </c>
      <c r="B11">
        <v>0.14392909950950139</v>
      </c>
    </row>
    <row r="12" spans="1:2" x14ac:dyDescent="0.2">
      <c r="A12">
        <v>677.65567765568028</v>
      </c>
      <c r="B12">
        <v>0.13579973706417545</v>
      </c>
    </row>
    <row r="13" spans="1:2" x14ac:dyDescent="0.2">
      <c r="A13">
        <v>670.28985507246466</v>
      </c>
      <c r="B13">
        <v>0.11742882926836014</v>
      </c>
    </row>
    <row r="14" spans="1:2" x14ac:dyDescent="0.2">
      <c r="A14">
        <v>663.47878063359553</v>
      </c>
      <c r="B14">
        <v>0.11406433989951041</v>
      </c>
    </row>
    <row r="15" spans="1:2" x14ac:dyDescent="0.2">
      <c r="A15">
        <v>656.41632170313574</v>
      </c>
      <c r="B15">
        <v>0.1057609415664707</v>
      </c>
    </row>
    <row r="16" spans="1:2" x14ac:dyDescent="0.2">
      <c r="A16">
        <v>646.85314685314938</v>
      </c>
      <c r="B16">
        <v>9.9208906204848402E-2</v>
      </c>
    </row>
    <row r="17" spans="1:2" x14ac:dyDescent="0.2">
      <c r="A17">
        <v>635.01144164759921</v>
      </c>
      <c r="B17">
        <v>9.6646984006450665E-2</v>
      </c>
    </row>
    <row r="18" spans="1:2" x14ac:dyDescent="0.2">
      <c r="A18">
        <v>620.11173184357642</v>
      </c>
      <c r="B18">
        <v>8.4550084066146017E-2</v>
      </c>
    </row>
    <row r="19" spans="1:2" x14ac:dyDescent="0.2">
      <c r="A19">
        <v>605.23446019629307</v>
      </c>
      <c r="B19">
        <v>7.5050260050974371E-2</v>
      </c>
    </row>
    <row r="20" spans="1:2" x14ac:dyDescent="0.2">
      <c r="A20">
        <v>591.36920618007491</v>
      </c>
      <c r="B20">
        <v>6.2855122903495056E-2</v>
      </c>
    </row>
    <row r="21" spans="1:2" x14ac:dyDescent="0.2">
      <c r="A21">
        <v>585.13442277280228</v>
      </c>
      <c r="B21">
        <v>5.9650758262206692E-2</v>
      </c>
    </row>
    <row r="22" spans="1:2" x14ac:dyDescent="0.2">
      <c r="A22">
        <v>577.52341311134285</v>
      </c>
      <c r="B22">
        <v>5.9304957736274727E-2</v>
      </c>
    </row>
    <row r="23" spans="1:2" x14ac:dyDescent="0.2">
      <c r="A23">
        <v>564.02439024390344</v>
      </c>
      <c r="B23">
        <v>5.7105601356146327E-2</v>
      </c>
    </row>
    <row r="24" spans="1:2" x14ac:dyDescent="0.2">
      <c r="A24">
        <v>553.61596009975256</v>
      </c>
      <c r="B24">
        <v>5.1282218267398164E-2</v>
      </c>
    </row>
    <row r="25" spans="1:2" x14ac:dyDescent="0.2">
      <c r="A25">
        <v>540.40895813047723</v>
      </c>
      <c r="B25">
        <v>4.6186747525027327E-2</v>
      </c>
    </row>
    <row r="26" spans="1:2" x14ac:dyDescent="0.2">
      <c r="A26">
        <v>522.59887005649819</v>
      </c>
      <c r="B26">
        <v>4.220660087973771E-2</v>
      </c>
    </row>
    <row r="27" spans="1:2" x14ac:dyDescent="0.2">
      <c r="A27">
        <v>513.41350601295301</v>
      </c>
      <c r="B27">
        <v>4.0054901332579884E-2</v>
      </c>
    </row>
    <row r="28" spans="1:2" x14ac:dyDescent="0.2">
      <c r="A28">
        <v>512.46537396121914</v>
      </c>
      <c r="B28">
        <v>3.7792531792618884E-2</v>
      </c>
    </row>
    <row r="29" spans="1:2" x14ac:dyDescent="0.2">
      <c r="A29">
        <v>494.65240641711267</v>
      </c>
      <c r="B29">
        <v>3.649691697386967E-2</v>
      </c>
    </row>
    <row r="30" spans="1:2" x14ac:dyDescent="0.2">
      <c r="A30">
        <v>479.0677600345291</v>
      </c>
      <c r="B30">
        <v>3.4037414589511601E-2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5692-8422-4D43-A197-FC2DDF367447}">
  <dimension ref="A1:E30"/>
  <sheetViews>
    <sheetView workbookViewId="0">
      <selection activeCell="E1" sqref="E1:E1048576"/>
    </sheetView>
  </sheetViews>
  <sheetFormatPr baseColWidth="10" defaultRowHeight="16" x14ac:dyDescent="0.2"/>
  <cols>
    <col min="4" max="4" width="12.164062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1.2549549549549499</v>
      </c>
      <c r="B2">
        <v>-5.8197674418604599</v>
      </c>
      <c r="C2">
        <f>1000/A2</f>
        <v>796.8413496051719</v>
      </c>
      <c r="D2">
        <f>EXP(B2)</f>
        <v>2.9682953657674481E-3</v>
      </c>
      <c r="E2">
        <f>D2*100</f>
        <v>0.29682953657674482</v>
      </c>
    </row>
    <row r="3" spans="1:5" x14ac:dyDescent="0.2">
      <c r="A3">
        <v>1.28468468468468</v>
      </c>
      <c r="B3">
        <v>-5.84883720930232</v>
      </c>
      <c r="C3">
        <f t="shared" ref="C3:C30" si="0">1000/A3</f>
        <v>778.40112201963814</v>
      </c>
      <c r="D3">
        <f t="shared" ref="D3:D30" si="1">EXP(B3)</f>
        <v>2.8832498257245712E-3</v>
      </c>
      <c r="E3">
        <f t="shared" ref="E3:E30" si="2">D3*100</f>
        <v>0.28832498257245714</v>
      </c>
    </row>
    <row r="4" spans="1:5" x14ac:dyDescent="0.2">
      <c r="A4">
        <v>1.3072072072072001</v>
      </c>
      <c r="B4">
        <v>-5.9796511627906899</v>
      </c>
      <c r="C4">
        <f t="shared" si="0"/>
        <v>764.989662301865</v>
      </c>
      <c r="D4">
        <f t="shared" si="1"/>
        <v>2.529708594816907E-3</v>
      </c>
      <c r="E4">
        <f t="shared" si="2"/>
        <v>0.25297085948169068</v>
      </c>
    </row>
    <row r="5" spans="1:5" x14ac:dyDescent="0.2">
      <c r="A5">
        <v>1.3378378378378299</v>
      </c>
      <c r="B5">
        <v>-6.0872093023255802</v>
      </c>
      <c r="C5">
        <f t="shared" si="0"/>
        <v>747.47474747475189</v>
      </c>
      <c r="D5">
        <f t="shared" si="1"/>
        <v>2.2717398159112371E-3</v>
      </c>
      <c r="E5">
        <f t="shared" si="2"/>
        <v>0.2271739815911237</v>
      </c>
    </row>
    <row r="6" spans="1:5" x14ac:dyDescent="0.2">
      <c r="A6">
        <v>1.34774774774774</v>
      </c>
      <c r="B6">
        <v>-6.1424418604651096</v>
      </c>
      <c r="C6">
        <f t="shared" si="0"/>
        <v>741.97860962567268</v>
      </c>
      <c r="D6">
        <f t="shared" si="1"/>
        <v>2.1496680148453654E-3</v>
      </c>
      <c r="E6">
        <f t="shared" si="2"/>
        <v>0.21496680148453653</v>
      </c>
    </row>
    <row r="7" spans="1:5" x14ac:dyDescent="0.2">
      <c r="A7">
        <v>1.36216216216216</v>
      </c>
      <c r="B7">
        <v>-6.2180232558139501</v>
      </c>
      <c r="C7">
        <f t="shared" si="0"/>
        <v>734.12698412698523</v>
      </c>
      <c r="D7">
        <f t="shared" si="1"/>
        <v>1.9931813352504868E-3</v>
      </c>
      <c r="E7">
        <f t="shared" si="2"/>
        <v>0.19931813352504868</v>
      </c>
    </row>
    <row r="8" spans="1:5" x14ac:dyDescent="0.2">
      <c r="A8">
        <v>1.3927927927927899</v>
      </c>
      <c r="B8">
        <v>-6.34883720930232</v>
      </c>
      <c r="C8">
        <f t="shared" si="0"/>
        <v>717.98188874515029</v>
      </c>
      <c r="D8">
        <f t="shared" si="1"/>
        <v>1.7487794189130596E-3</v>
      </c>
      <c r="E8">
        <f t="shared" si="2"/>
        <v>0.17487794189130595</v>
      </c>
    </row>
    <row r="9" spans="1:5" x14ac:dyDescent="0.2">
      <c r="A9">
        <v>1.41351351351351</v>
      </c>
      <c r="B9">
        <v>-6.40988372093023</v>
      </c>
      <c r="C9">
        <f t="shared" si="0"/>
        <v>707.45697896749698</v>
      </c>
      <c r="D9">
        <f t="shared" si="1"/>
        <v>1.6452157951108975E-3</v>
      </c>
      <c r="E9">
        <f t="shared" si="2"/>
        <v>0.16452157951108975</v>
      </c>
    </row>
    <row r="10" spans="1:5" x14ac:dyDescent="0.2">
      <c r="A10">
        <v>1.4441441441441401</v>
      </c>
      <c r="B10">
        <v>-6.4883720930232496</v>
      </c>
      <c r="C10">
        <f t="shared" si="0"/>
        <v>692.45165315034512</v>
      </c>
      <c r="D10">
        <f t="shared" si="1"/>
        <v>1.5210230778239897E-3</v>
      </c>
      <c r="E10">
        <f t="shared" si="2"/>
        <v>0.15210230778239897</v>
      </c>
    </row>
    <row r="11" spans="1:5" x14ac:dyDescent="0.2">
      <c r="A11">
        <v>1.4504504504504501</v>
      </c>
      <c r="B11">
        <v>-6.5436046511627897</v>
      </c>
      <c r="C11">
        <f t="shared" si="0"/>
        <v>689.44099378882004</v>
      </c>
      <c r="D11">
        <f t="shared" si="1"/>
        <v>1.439290995095014E-3</v>
      </c>
      <c r="E11">
        <f t="shared" si="2"/>
        <v>0.14392909950950139</v>
      </c>
    </row>
    <row r="12" spans="1:5" x14ac:dyDescent="0.2">
      <c r="A12">
        <v>1.4756756756756699</v>
      </c>
      <c r="B12">
        <v>-6.6017441860465098</v>
      </c>
      <c r="C12">
        <f t="shared" si="0"/>
        <v>677.65567765568028</v>
      </c>
      <c r="D12">
        <f t="shared" si="1"/>
        <v>1.3579973706417544E-3</v>
      </c>
      <c r="E12">
        <f t="shared" si="2"/>
        <v>0.13579973706417545</v>
      </c>
    </row>
    <row r="13" spans="1:5" x14ac:dyDescent="0.2">
      <c r="A13">
        <v>1.49189189189189</v>
      </c>
      <c r="B13">
        <v>-6.7470930232558102</v>
      </c>
      <c r="C13">
        <f t="shared" si="0"/>
        <v>670.28985507246466</v>
      </c>
      <c r="D13">
        <f t="shared" si="1"/>
        <v>1.1742882926836014E-3</v>
      </c>
      <c r="E13">
        <f t="shared" si="2"/>
        <v>0.11742882926836014</v>
      </c>
    </row>
    <row r="14" spans="1:5" x14ac:dyDescent="0.2">
      <c r="A14">
        <v>1.5072072072072</v>
      </c>
      <c r="B14">
        <v>-6.7761627906976702</v>
      </c>
      <c r="C14">
        <f t="shared" si="0"/>
        <v>663.47878063359553</v>
      </c>
      <c r="D14">
        <f t="shared" si="1"/>
        <v>1.1406433989951041E-3</v>
      </c>
      <c r="E14">
        <f t="shared" si="2"/>
        <v>0.11406433989951041</v>
      </c>
    </row>
    <row r="15" spans="1:5" x14ac:dyDescent="0.2">
      <c r="A15">
        <v>1.5234234234234201</v>
      </c>
      <c r="B15">
        <v>-6.8517441860465098</v>
      </c>
      <c r="C15">
        <f t="shared" si="0"/>
        <v>656.41632170313574</v>
      </c>
      <c r="D15">
        <f t="shared" si="1"/>
        <v>1.057609415664707E-3</v>
      </c>
      <c r="E15">
        <f t="shared" si="2"/>
        <v>0.1057609415664707</v>
      </c>
    </row>
    <row r="16" spans="1:5" x14ac:dyDescent="0.2">
      <c r="A16">
        <v>1.5459459459459399</v>
      </c>
      <c r="B16">
        <v>-6.9156976744185998</v>
      </c>
      <c r="C16">
        <f t="shared" si="0"/>
        <v>646.85314685314938</v>
      </c>
      <c r="D16">
        <f t="shared" si="1"/>
        <v>9.9208906204848401E-4</v>
      </c>
      <c r="E16">
        <f t="shared" si="2"/>
        <v>9.9208906204848402E-2</v>
      </c>
    </row>
    <row r="17" spans="1:5" x14ac:dyDescent="0.2">
      <c r="A17">
        <v>1.57477477477477</v>
      </c>
      <c r="B17">
        <v>-6.9418604651162799</v>
      </c>
      <c r="C17">
        <f t="shared" si="0"/>
        <v>635.01144164759921</v>
      </c>
      <c r="D17">
        <f t="shared" si="1"/>
        <v>9.6646984006450664E-4</v>
      </c>
      <c r="E17">
        <f t="shared" si="2"/>
        <v>9.6646984006450665E-2</v>
      </c>
    </row>
    <row r="18" spans="1:5" x14ac:dyDescent="0.2">
      <c r="A18">
        <v>1.6126126126126099</v>
      </c>
      <c r="B18">
        <v>-7.0755813953488298</v>
      </c>
      <c r="C18">
        <f t="shared" si="0"/>
        <v>620.11173184357642</v>
      </c>
      <c r="D18">
        <f t="shared" si="1"/>
        <v>8.4550084066146015E-4</v>
      </c>
      <c r="E18">
        <f t="shared" si="2"/>
        <v>8.4550084066146017E-2</v>
      </c>
    </row>
    <row r="19" spans="1:5" x14ac:dyDescent="0.2">
      <c r="A19">
        <v>1.65225225225225</v>
      </c>
      <c r="B19">
        <v>-7.1947674418604599</v>
      </c>
      <c r="C19">
        <f t="shared" si="0"/>
        <v>605.23446019629307</v>
      </c>
      <c r="D19">
        <f t="shared" si="1"/>
        <v>7.5050260050974372E-4</v>
      </c>
      <c r="E19">
        <f t="shared" si="2"/>
        <v>7.5050260050974371E-2</v>
      </c>
    </row>
    <row r="20" spans="1:5" x14ac:dyDescent="0.2">
      <c r="A20">
        <v>1.6909909909909899</v>
      </c>
      <c r="B20">
        <v>-7.3720930232558102</v>
      </c>
      <c r="C20">
        <f t="shared" si="0"/>
        <v>591.36920618007491</v>
      </c>
      <c r="D20">
        <f t="shared" si="1"/>
        <v>6.285512290349506E-4</v>
      </c>
      <c r="E20">
        <f t="shared" si="2"/>
        <v>6.2855122903495056E-2</v>
      </c>
    </row>
    <row r="21" spans="1:5" x14ac:dyDescent="0.2">
      <c r="A21">
        <v>1.709009009009</v>
      </c>
      <c r="B21">
        <v>-7.4244186046511604</v>
      </c>
      <c r="C21">
        <f t="shared" si="0"/>
        <v>585.13442277280228</v>
      </c>
      <c r="D21">
        <f t="shared" si="1"/>
        <v>5.9650758262206694E-4</v>
      </c>
      <c r="E21">
        <f t="shared" si="2"/>
        <v>5.9650758262206692E-2</v>
      </c>
    </row>
    <row r="22" spans="1:5" x14ac:dyDescent="0.2">
      <c r="A22">
        <v>1.7315315315315301</v>
      </c>
      <c r="B22">
        <v>-7.4302325581395303</v>
      </c>
      <c r="C22">
        <f t="shared" si="0"/>
        <v>577.52341311134285</v>
      </c>
      <c r="D22">
        <f t="shared" si="1"/>
        <v>5.9304957736274725E-4</v>
      </c>
      <c r="E22">
        <f t="shared" si="2"/>
        <v>5.9304957736274727E-2</v>
      </c>
    </row>
    <row r="23" spans="1:5" x14ac:dyDescent="0.2">
      <c r="A23">
        <v>1.77297297297297</v>
      </c>
      <c r="B23">
        <v>-7.4680232558139501</v>
      </c>
      <c r="C23">
        <f t="shared" si="0"/>
        <v>564.02439024390344</v>
      </c>
      <c r="D23">
        <f t="shared" si="1"/>
        <v>5.7105601356146327E-4</v>
      </c>
      <c r="E23">
        <f t="shared" si="2"/>
        <v>5.7105601356146327E-2</v>
      </c>
    </row>
    <row r="24" spans="1:5" x14ac:dyDescent="0.2">
      <c r="A24">
        <v>1.8063063063063001</v>
      </c>
      <c r="B24">
        <v>-7.5755813953488298</v>
      </c>
      <c r="C24">
        <f t="shared" si="0"/>
        <v>553.61596009975256</v>
      </c>
      <c r="D24">
        <f t="shared" si="1"/>
        <v>5.1282218267398164E-4</v>
      </c>
      <c r="E24">
        <f t="shared" si="2"/>
        <v>5.1282218267398164E-2</v>
      </c>
    </row>
    <row r="25" spans="1:5" x14ac:dyDescent="0.2">
      <c r="A25">
        <v>1.85045045045045</v>
      </c>
      <c r="B25">
        <v>-7.6802325581395303</v>
      </c>
      <c r="C25">
        <f t="shared" si="0"/>
        <v>540.40895813047723</v>
      </c>
      <c r="D25">
        <f t="shared" si="1"/>
        <v>4.6186747525027325E-4</v>
      </c>
      <c r="E25">
        <f t="shared" si="2"/>
        <v>4.6186747525027327E-2</v>
      </c>
    </row>
    <row r="26" spans="1:5" x14ac:dyDescent="0.2">
      <c r="A26">
        <v>1.91351351351351</v>
      </c>
      <c r="B26">
        <v>-7.7703488372093004</v>
      </c>
      <c r="C26">
        <f t="shared" si="0"/>
        <v>522.59887005649819</v>
      </c>
      <c r="D26">
        <f t="shared" si="1"/>
        <v>4.2206600879737707E-4</v>
      </c>
      <c r="E26">
        <f t="shared" si="2"/>
        <v>4.220660087973771E-2</v>
      </c>
    </row>
    <row r="27" spans="1:5" x14ac:dyDescent="0.2">
      <c r="A27">
        <v>1.9477477477477401</v>
      </c>
      <c r="B27">
        <v>-7.8226744186046497</v>
      </c>
      <c r="C27">
        <f t="shared" si="0"/>
        <v>513.41350601295301</v>
      </c>
      <c r="D27">
        <f t="shared" si="1"/>
        <v>4.0054901332579884E-4</v>
      </c>
      <c r="E27">
        <f t="shared" si="2"/>
        <v>4.0054901332579884E-2</v>
      </c>
    </row>
    <row r="28" spans="1:5" x14ac:dyDescent="0.2">
      <c r="A28">
        <v>1.9513513513513501</v>
      </c>
      <c r="B28">
        <v>-7.8808139534883699</v>
      </c>
      <c r="C28">
        <f t="shared" si="0"/>
        <v>512.46537396121914</v>
      </c>
      <c r="D28">
        <f t="shared" si="1"/>
        <v>3.7792531792618883E-4</v>
      </c>
      <c r="E28">
        <f t="shared" si="2"/>
        <v>3.7792531792618884E-2</v>
      </c>
    </row>
    <row r="29" spans="1:5" x14ac:dyDescent="0.2">
      <c r="A29">
        <v>2.0216216216216201</v>
      </c>
      <c r="B29">
        <v>-7.9156976744185998</v>
      </c>
      <c r="C29">
        <f t="shared" si="0"/>
        <v>494.65240641711267</v>
      </c>
      <c r="D29">
        <f t="shared" si="1"/>
        <v>3.6496916973869671E-4</v>
      </c>
      <c r="E29">
        <f t="shared" si="2"/>
        <v>3.649691697386967E-2</v>
      </c>
    </row>
    <row r="30" spans="1:5" x14ac:dyDescent="0.2">
      <c r="A30">
        <v>2.0873873873873801</v>
      </c>
      <c r="B30">
        <v>-7.9854651162790704</v>
      </c>
      <c r="C30">
        <f t="shared" si="0"/>
        <v>479.0677600345291</v>
      </c>
      <c r="D30">
        <f t="shared" si="1"/>
        <v>3.4037414589511603E-4</v>
      </c>
      <c r="E30">
        <f t="shared" si="2"/>
        <v>3.4037414589511601E-2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MoO3ECondHeatingA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2024-07-02T16:44:20Z</dcterms:created>
  <dcterms:modified xsi:type="dcterms:W3CDTF">2024-07-02T17:07:31Z</dcterms:modified>
</cp:coreProperties>
</file>