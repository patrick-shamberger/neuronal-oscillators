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ychong/Desktop/Ashby Project/Main Code/"/>
    </mc:Choice>
  </mc:AlternateContent>
  <xr:revisionPtr revIDLastSave="0" documentId="8_{8249F071-4E5F-F141-A4F3-34081AB76E3D}" xr6:coauthVersionLast="47" xr6:coauthVersionMax="47" xr10:uidLastSave="{00000000-0000-0000-0000-000000000000}"/>
  <bookViews>
    <workbookView xWindow="12140" yWindow="740" windowWidth="27240" windowHeight="15840" xr2:uid="{457867B8-3D51-244F-A8FA-87C23B0AE365}"/>
  </bookViews>
  <sheets>
    <sheet name="Sheet1" sheetId="2" r:id="rId1"/>
    <sheet name="TaS2Cth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2" i="1"/>
  <c r="E2" i="1"/>
</calcChain>
</file>

<file path=xl/sharedStrings.xml><?xml version="1.0" encoding="utf-8"?>
<sst xmlns="http://schemas.openxmlformats.org/spreadsheetml/2006/main" count="7" uniqueCount="5">
  <si>
    <t>T (K)</t>
  </si>
  <si>
    <t>J/molK</t>
  </si>
  <si>
    <t>Density</t>
  </si>
  <si>
    <t>MW</t>
  </si>
  <si>
    <t>J/m^3K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</si>
</sst>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5659C-3A86-654D-BF2C-3BFB7C1D6D9C}">
  <dimension ref="A1:B13"/>
  <sheetViews>
    <sheetView tabSelected="1" workbookViewId="0">
      <selection activeCell="D19" sqref="D19"/>
    </sheetView>
  </sheetViews>
  <sheetFormatPr baseColWidth="10" defaultRowHeight="16" x14ac:dyDescent="0.2"/>
  <sheetData>
    <row r="1" spans="1:2" x14ac:dyDescent="0.2">
      <c r="A1" t="s">
        <v>0</v>
      </c>
      <c r="B1" t="s">
        <v>4</v>
      </c>
    </row>
    <row r="2" spans="1:2" x14ac:dyDescent="0.2">
      <c r="A2">
        <v>27.027027027026701</v>
      </c>
      <c r="B2">
        <v>171037.46985958604</v>
      </c>
    </row>
    <row r="3" spans="1:2" x14ac:dyDescent="0.2">
      <c r="A3">
        <v>38.186573670444297</v>
      </c>
      <c r="B3">
        <v>319987.21750458248</v>
      </c>
    </row>
    <row r="4" spans="1:2" x14ac:dyDescent="0.2">
      <c r="A4">
        <v>63.6442894507407</v>
      </c>
      <c r="B4">
        <v>604958.7137105976</v>
      </c>
    </row>
    <row r="5" spans="1:2" x14ac:dyDescent="0.2">
      <c r="A5">
        <v>87.009590235396502</v>
      </c>
      <c r="B5">
        <v>857889.36967146874</v>
      </c>
    </row>
    <row r="6" spans="1:2" x14ac:dyDescent="0.2">
      <c r="A6">
        <v>117.349607672188</v>
      </c>
      <c r="B6">
        <v>1155563.5799898736</v>
      </c>
    </row>
    <row r="7" spans="1:2" x14ac:dyDescent="0.2">
      <c r="A7">
        <v>206.277244986922</v>
      </c>
      <c r="B7">
        <v>1663449.6580848468</v>
      </c>
    </row>
    <row r="8" spans="1:2" x14ac:dyDescent="0.2">
      <c r="A8">
        <v>319.26765475152501</v>
      </c>
      <c r="B8">
        <v>1889788.2916848685</v>
      </c>
    </row>
    <row r="9" spans="1:2" x14ac:dyDescent="0.2">
      <c r="A9">
        <v>475.50130775937203</v>
      </c>
      <c r="B9">
        <v>1991328.8460227714</v>
      </c>
    </row>
    <row r="10" spans="1:2" x14ac:dyDescent="0.2">
      <c r="A10">
        <v>596.86137750653904</v>
      </c>
      <c r="B10">
        <v>2023229.7577141372</v>
      </c>
    </row>
    <row r="11" spans="1:2" x14ac:dyDescent="0.2">
      <c r="A11">
        <v>747.51525719267704</v>
      </c>
      <c r="B11">
        <v>2039863.0649022807</v>
      </c>
    </row>
    <row r="12" spans="1:2" x14ac:dyDescent="0.2">
      <c r="A12">
        <v>896.77419354838798</v>
      </c>
      <c r="B12">
        <v>2050115.6300379352</v>
      </c>
    </row>
    <row r="13" spans="1:2" x14ac:dyDescent="0.2">
      <c r="A13">
        <v>984.65562336530195</v>
      </c>
      <c r="B13">
        <v>2050857.2513729825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34CA0-0066-314A-8A20-962897FC5615}">
  <dimension ref="A1:E13"/>
  <sheetViews>
    <sheetView workbookViewId="0">
      <selection activeCell="C1" sqref="C1:C1048576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4</v>
      </c>
    </row>
    <row r="2" spans="1:5" x14ac:dyDescent="0.2">
      <c r="A2">
        <v>27.027027027026701</v>
      </c>
      <c r="B2">
        <v>6.1104756724762899</v>
      </c>
      <c r="C2">
        <f>B2*$E$2/$E$3</f>
        <v>171037.46985958604</v>
      </c>
      <c r="D2" t="s">
        <v>2</v>
      </c>
      <c r="E2">
        <f>6.86*10^6</f>
        <v>6860000</v>
      </c>
    </row>
    <row r="3" spans="1:5" x14ac:dyDescent="0.2">
      <c r="A3">
        <v>38.186573670444297</v>
      </c>
      <c r="B3">
        <v>11.431846540236601</v>
      </c>
      <c r="C3">
        <f t="shared" ref="C3:C13" si="0">B3*$E$2/$E$3</f>
        <v>319987.21750458248</v>
      </c>
      <c r="D3" t="s">
        <v>3</v>
      </c>
      <c r="E3">
        <v>245.08</v>
      </c>
    </row>
    <row r="4" spans="1:5" x14ac:dyDescent="0.2">
      <c r="A4">
        <v>63.6442894507407</v>
      </c>
      <c r="B4">
        <v>21.612723258920301</v>
      </c>
      <c r="C4">
        <f t="shared" si="0"/>
        <v>604958.7137105976</v>
      </c>
    </row>
    <row r="5" spans="1:5" x14ac:dyDescent="0.2">
      <c r="A5">
        <v>87.009590235396502</v>
      </c>
      <c r="B5">
        <v>30.648910600449501</v>
      </c>
      <c r="C5">
        <f t="shared" si="0"/>
        <v>857889.36967146874</v>
      </c>
    </row>
    <row r="6" spans="1:5" x14ac:dyDescent="0.2">
      <c r="A6">
        <v>117.349607672188</v>
      </c>
      <c r="B6">
        <v>41.283603816897703</v>
      </c>
      <c r="C6">
        <f t="shared" si="0"/>
        <v>1155563.5799898736</v>
      </c>
    </row>
    <row r="7" spans="1:5" x14ac:dyDescent="0.2">
      <c r="A7">
        <v>206.277244986922</v>
      </c>
      <c r="B7">
        <v>59.428315190005002</v>
      </c>
      <c r="C7">
        <f t="shared" si="0"/>
        <v>1663449.6580848468</v>
      </c>
    </row>
    <row r="8" spans="1:5" x14ac:dyDescent="0.2">
      <c r="A8">
        <v>319.26765475152501</v>
      </c>
      <c r="B8">
        <v>67.514477336170202</v>
      </c>
      <c r="C8">
        <f t="shared" si="0"/>
        <v>1889788.2916848685</v>
      </c>
    </row>
    <row r="9" spans="1:5" x14ac:dyDescent="0.2">
      <c r="A9">
        <v>475.50130775937203</v>
      </c>
      <c r="B9">
        <v>71.142109851787296</v>
      </c>
      <c r="C9">
        <f t="shared" si="0"/>
        <v>1991328.8460227714</v>
      </c>
    </row>
    <row r="10" spans="1:5" x14ac:dyDescent="0.2">
      <c r="A10">
        <v>596.86137750653904</v>
      </c>
      <c r="B10">
        <v>72.281800148772703</v>
      </c>
      <c r="C10">
        <f t="shared" si="0"/>
        <v>2023229.7577141372</v>
      </c>
    </row>
    <row r="11" spans="1:5" x14ac:dyDescent="0.2">
      <c r="A11">
        <v>747.51525719267704</v>
      </c>
      <c r="B11">
        <v>72.876040808491396</v>
      </c>
      <c r="C11">
        <f t="shared" si="0"/>
        <v>2039863.0649022807</v>
      </c>
    </row>
    <row r="12" spans="1:5" x14ac:dyDescent="0.2">
      <c r="A12">
        <v>896.77419354838798</v>
      </c>
      <c r="B12">
        <v>73.242323412492297</v>
      </c>
      <c r="C12">
        <f t="shared" si="0"/>
        <v>2050115.6300379352</v>
      </c>
    </row>
    <row r="13" spans="1:5" x14ac:dyDescent="0.2">
      <c r="A13">
        <v>984.65562336530195</v>
      </c>
      <c r="B13">
        <v>73.268818537389294</v>
      </c>
      <c r="C13">
        <f t="shared" si="0"/>
        <v>2050857.2513729825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TaS2Cth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Chong, Jenny L</cp:lastModifiedBy>
  <dcterms:created xsi:type="dcterms:W3CDTF">2024-07-19T19:20:51Z</dcterms:created>
  <dcterms:modified xsi:type="dcterms:W3CDTF">2024-07-19T19:20:51Z</dcterms:modified>
</cp:coreProperties>
</file>