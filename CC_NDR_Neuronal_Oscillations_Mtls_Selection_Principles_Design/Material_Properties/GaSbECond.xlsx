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C5E3EDAD-F5C3-439B-A804-843EED12D4BF}" xr6:coauthVersionLast="36" xr6:coauthVersionMax="36" xr10:uidLastSave="{00000000-0000-0000-0000-000000000000}"/>
  <bookViews>
    <workbookView xWindow="0" yWindow="0" windowWidth="12960" windowHeight="6165"/>
  </bookViews>
  <sheets>
    <sheet name="Sheet1" sheetId="2" r:id="rId1"/>
    <sheet name="GaAsECond (1)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 s="1"/>
  <c r="C8" i="1"/>
  <c r="D8" i="1"/>
  <c r="E8" i="1"/>
  <c r="C9" i="1"/>
  <c r="D9" i="1"/>
  <c r="E9" i="1" s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 s="1"/>
  <c r="C15" i="1"/>
  <c r="D15" i="1"/>
  <c r="E15" i="1"/>
  <c r="C16" i="1"/>
  <c r="D16" i="1"/>
  <c r="E16" i="1" s="1"/>
  <c r="C17" i="1"/>
  <c r="D17" i="1"/>
  <c r="E17" i="1"/>
  <c r="C18" i="1"/>
  <c r="D18" i="1"/>
  <c r="E18" i="1"/>
  <c r="E2" i="1"/>
  <c r="D2" i="1"/>
  <c r="C2" i="1"/>
</calcChain>
</file>

<file path=xl/sharedStrings.xml><?xml version="1.0" encoding="utf-8"?>
<sst xmlns="http://schemas.openxmlformats.org/spreadsheetml/2006/main" count="7" uniqueCount="5">
  <si>
    <t>1000/T</t>
  </si>
  <si>
    <t>log s/cm</t>
  </si>
  <si>
    <t>T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</si>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</sst>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27" sqref="B127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489.89476088073707</v>
      </c>
      <c r="B2">
        <v>1098.2038196013493</v>
      </c>
    </row>
    <row r="3" spans="1:2" x14ac:dyDescent="0.25">
      <c r="A3">
        <v>488.09044154243702</v>
      </c>
      <c r="B3">
        <v>915.66459192964282</v>
      </c>
    </row>
    <row r="4" spans="1:2" x14ac:dyDescent="0.25">
      <c r="A4">
        <v>484.93782274832847</v>
      </c>
      <c r="B4">
        <v>705.7586495065467</v>
      </c>
    </row>
    <row r="5" spans="1:2" x14ac:dyDescent="0.25">
      <c r="A5">
        <v>478.71536728863686</v>
      </c>
      <c r="B5">
        <v>455.80204348255523</v>
      </c>
    </row>
    <row r="6" spans="1:2" x14ac:dyDescent="0.25">
      <c r="A6">
        <v>473.89155306830639</v>
      </c>
      <c r="B6">
        <v>358.30222999870148</v>
      </c>
    </row>
    <row r="7" spans="1:2" x14ac:dyDescent="0.25">
      <c r="A7">
        <v>460.77670207029718</v>
      </c>
      <c r="B7">
        <v>194.87052812916582</v>
      </c>
    </row>
    <row r="8" spans="1:2" x14ac:dyDescent="0.25">
      <c r="A8">
        <v>453.04353564907501</v>
      </c>
      <c r="B8">
        <v>150.95611454018234</v>
      </c>
    </row>
    <row r="9" spans="1:2" x14ac:dyDescent="0.25">
      <c r="A9">
        <v>439.05766975802328</v>
      </c>
      <c r="B9">
        <v>98.961437299788486</v>
      </c>
    </row>
    <row r="10" spans="1:2" x14ac:dyDescent="0.25">
      <c r="A10">
        <v>432.00540373856501</v>
      </c>
      <c r="B10">
        <v>82.119932616036067</v>
      </c>
    </row>
    <row r="11" spans="1:2" x14ac:dyDescent="0.25">
      <c r="A11">
        <v>419.22908587539683</v>
      </c>
      <c r="B11">
        <v>60.573598178139321</v>
      </c>
    </row>
    <row r="12" spans="1:2" x14ac:dyDescent="0.25">
      <c r="A12">
        <v>406.5228419882792</v>
      </c>
      <c r="B12">
        <v>46.01839539240202</v>
      </c>
    </row>
    <row r="13" spans="1:2" x14ac:dyDescent="0.25">
      <c r="A13">
        <v>376.16535640178927</v>
      </c>
      <c r="B13">
        <v>26.566424702871601</v>
      </c>
    </row>
    <row r="14" spans="1:2" x14ac:dyDescent="0.25">
      <c r="A14">
        <v>367.72570383742601</v>
      </c>
      <c r="B14">
        <v>23.387083418464925</v>
      </c>
    </row>
    <row r="15" spans="1:2" x14ac:dyDescent="0.25">
      <c r="A15">
        <v>346.87669488527882</v>
      </c>
      <c r="B15">
        <v>17.429196871659748</v>
      </c>
    </row>
    <row r="16" spans="1:2" x14ac:dyDescent="0.25">
      <c r="A16">
        <v>333.64979894173126</v>
      </c>
      <c r="B16">
        <v>14.683408893524144</v>
      </c>
    </row>
    <row r="17" spans="1:2" x14ac:dyDescent="0.25">
      <c r="A17">
        <v>316.18186675346334</v>
      </c>
      <c r="B17">
        <v>11.838011470854346</v>
      </c>
    </row>
    <row r="18" spans="1:2" x14ac:dyDescent="0.25">
      <c r="A18">
        <v>303.5041360802079</v>
      </c>
      <c r="B18">
        <v>10.171917209518506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2.0412547343886498</v>
      </c>
      <c r="B2">
        <v>2.3962610469068601</v>
      </c>
      <c r="C2">
        <f>1000/A2</f>
        <v>489.89476088073707</v>
      </c>
      <c r="D2">
        <f>EXP(B2)</f>
        <v>10.982038196013493</v>
      </c>
      <c r="E2">
        <f>D2*100</f>
        <v>1098.2038196013493</v>
      </c>
    </row>
    <row r="3" spans="1:5" x14ac:dyDescent="0.25">
      <c r="A3">
        <v>2.0488006215402499</v>
      </c>
      <c r="B3">
        <v>2.2144799456152202</v>
      </c>
      <c r="C3">
        <f t="shared" ref="C3:C18" si="0">1000/A3</f>
        <v>488.09044154243702</v>
      </c>
      <c r="D3">
        <f t="shared" ref="D3:D18" si="1">EXP(B3)</f>
        <v>9.1566459192964285</v>
      </c>
      <c r="E3">
        <f t="shared" ref="E3:E18" si="2">D3*100</f>
        <v>915.66459192964282</v>
      </c>
    </row>
    <row r="4" spans="1:5" x14ac:dyDescent="0.25">
      <c r="A4">
        <v>2.0621200349616302</v>
      </c>
      <c r="B4">
        <v>1.95410313683597</v>
      </c>
      <c r="C4">
        <f t="shared" si="0"/>
        <v>484.93782274832847</v>
      </c>
      <c r="D4">
        <f t="shared" si="1"/>
        <v>7.0575864950654674</v>
      </c>
      <c r="E4">
        <f t="shared" si="2"/>
        <v>705.7586495065467</v>
      </c>
    </row>
    <row r="5" spans="1:5" x14ac:dyDescent="0.25">
      <c r="A5">
        <v>2.0889239584344899</v>
      </c>
      <c r="B5">
        <v>1.51688841410119</v>
      </c>
      <c r="C5">
        <f t="shared" si="0"/>
        <v>478.71536728863686</v>
      </c>
      <c r="D5">
        <f t="shared" si="1"/>
        <v>4.5580204348255524</v>
      </c>
      <c r="E5">
        <f t="shared" si="2"/>
        <v>455.80204348255523</v>
      </c>
    </row>
    <row r="6" spans="1:5" x14ac:dyDescent="0.25">
      <c r="A6">
        <v>2.11018743323298</v>
      </c>
      <c r="B6">
        <v>1.2762066621346</v>
      </c>
      <c r="C6">
        <f t="shared" si="0"/>
        <v>473.89155306830639</v>
      </c>
      <c r="D6">
        <f t="shared" si="1"/>
        <v>3.5830222999870145</v>
      </c>
      <c r="E6">
        <f t="shared" si="2"/>
        <v>358.30222999870148</v>
      </c>
    </row>
    <row r="7" spans="1:5" x14ac:dyDescent="0.25">
      <c r="A7">
        <v>2.17024861610177</v>
      </c>
      <c r="B7">
        <v>0.66716519374575001</v>
      </c>
      <c r="C7">
        <f t="shared" si="0"/>
        <v>460.77670207029718</v>
      </c>
      <c r="D7">
        <f t="shared" si="1"/>
        <v>1.9487052812916581</v>
      </c>
      <c r="E7">
        <f t="shared" si="2"/>
        <v>194.87052812916582</v>
      </c>
    </row>
    <row r="8" spans="1:5" x14ac:dyDescent="0.25">
      <c r="A8">
        <v>2.2072933864232298</v>
      </c>
      <c r="B8">
        <v>0.41181897640089199</v>
      </c>
      <c r="C8">
        <f t="shared" si="0"/>
        <v>453.04353564907501</v>
      </c>
      <c r="D8">
        <f t="shared" si="1"/>
        <v>1.5095611454018234</v>
      </c>
      <c r="E8">
        <f t="shared" si="2"/>
        <v>150.95611454018234</v>
      </c>
    </row>
    <row r="9" spans="1:5" x14ac:dyDescent="0.25">
      <c r="A9">
        <v>2.2776051277070901</v>
      </c>
      <c r="B9">
        <v>-1.04399339613481E-2</v>
      </c>
      <c r="C9">
        <f t="shared" si="0"/>
        <v>439.05766975802328</v>
      </c>
      <c r="D9">
        <f t="shared" si="1"/>
        <v>0.98961437299788479</v>
      </c>
      <c r="E9">
        <f t="shared" si="2"/>
        <v>98.961437299788486</v>
      </c>
    </row>
    <row r="10" spans="1:5" x14ac:dyDescent="0.25">
      <c r="A10">
        <v>2.3147858599592102</v>
      </c>
      <c r="B10">
        <v>-0.196989414392541</v>
      </c>
      <c r="C10">
        <f t="shared" si="0"/>
        <v>432.00540373856501</v>
      </c>
      <c r="D10">
        <f t="shared" si="1"/>
        <v>0.82119932616036062</v>
      </c>
      <c r="E10">
        <f t="shared" si="2"/>
        <v>82.119932616036067</v>
      </c>
    </row>
    <row r="11" spans="1:5" x14ac:dyDescent="0.25">
      <c r="A11">
        <v>2.38533067883849</v>
      </c>
      <c r="B11">
        <v>-0.501311061474216</v>
      </c>
      <c r="C11">
        <f t="shared" si="0"/>
        <v>419.22908587539683</v>
      </c>
      <c r="D11">
        <f t="shared" si="1"/>
        <v>0.60573598178139321</v>
      </c>
      <c r="E11">
        <f t="shared" si="2"/>
        <v>60.573598178139321</v>
      </c>
    </row>
    <row r="12" spans="1:5" x14ac:dyDescent="0.25">
      <c r="A12">
        <v>2.4598863746722301</v>
      </c>
      <c r="B12">
        <v>-0.77612896960279798</v>
      </c>
      <c r="C12">
        <f t="shared" si="0"/>
        <v>406.5228419882792</v>
      </c>
      <c r="D12">
        <f t="shared" si="1"/>
        <v>0.46018395392402017</v>
      </c>
      <c r="E12">
        <f t="shared" si="2"/>
        <v>46.01839539240202</v>
      </c>
    </row>
    <row r="13" spans="1:5" x14ac:dyDescent="0.25">
      <c r="A13">
        <v>2.6584053607846898</v>
      </c>
      <c r="B13">
        <v>-1.32552199669806</v>
      </c>
      <c r="C13">
        <f t="shared" si="0"/>
        <v>376.16535640178927</v>
      </c>
      <c r="D13">
        <f t="shared" si="1"/>
        <v>0.26566424702871599</v>
      </c>
      <c r="E13">
        <f t="shared" si="2"/>
        <v>26.566424702871601</v>
      </c>
    </row>
    <row r="14" spans="1:5" x14ac:dyDescent="0.25">
      <c r="A14">
        <v>2.7194182771681001</v>
      </c>
      <c r="B14">
        <v>-1.4529863066912601</v>
      </c>
      <c r="C14">
        <f t="shared" si="0"/>
        <v>367.72570383742601</v>
      </c>
      <c r="D14">
        <f t="shared" si="1"/>
        <v>0.23387083418464927</v>
      </c>
      <c r="E14">
        <f t="shared" si="2"/>
        <v>23.387083418464925</v>
      </c>
    </row>
    <row r="15" spans="1:5" x14ac:dyDescent="0.25">
      <c r="A15">
        <v>2.88286879673691</v>
      </c>
      <c r="B15">
        <v>-1.7470234048752</v>
      </c>
      <c r="C15">
        <f t="shared" si="0"/>
        <v>346.87669488527882</v>
      </c>
      <c r="D15">
        <f t="shared" si="1"/>
        <v>0.1742919687165975</v>
      </c>
      <c r="E15">
        <f t="shared" si="2"/>
        <v>17.429196871659748</v>
      </c>
    </row>
    <row r="16" spans="1:5" x14ac:dyDescent="0.25">
      <c r="A16">
        <v>2.9971545110226199</v>
      </c>
      <c r="B16">
        <v>-1.91845197630377</v>
      </c>
      <c r="C16">
        <f t="shared" si="0"/>
        <v>333.64979894173126</v>
      </c>
      <c r="D16">
        <f t="shared" si="1"/>
        <v>0.14683408893524144</v>
      </c>
      <c r="E16">
        <f t="shared" si="2"/>
        <v>14.683408893524144</v>
      </c>
    </row>
    <row r="17" spans="1:5" x14ac:dyDescent="0.25">
      <c r="A17">
        <v>3.1627367194328402</v>
      </c>
      <c r="B17">
        <v>-2.1338545207341899</v>
      </c>
      <c r="C17">
        <f t="shared" si="0"/>
        <v>316.18186675346334</v>
      </c>
      <c r="D17">
        <f t="shared" si="1"/>
        <v>0.11838011470854345</v>
      </c>
      <c r="E17">
        <f t="shared" si="2"/>
        <v>11.838011470854346</v>
      </c>
    </row>
    <row r="18" spans="1:5" x14ac:dyDescent="0.25">
      <c r="A18">
        <v>3.2948480139846499</v>
      </c>
      <c r="B18">
        <v>-2.28553947751772</v>
      </c>
      <c r="C18">
        <f t="shared" si="0"/>
        <v>303.5041360802079</v>
      </c>
      <c r="D18">
        <f t="shared" si="1"/>
        <v>0.10171917209518506</v>
      </c>
      <c r="E18">
        <f t="shared" si="2"/>
        <v>10.171917209518506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GaAsECond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2024-04-19T16:06:25Z</dcterms:created>
  <dcterms:modified xsi:type="dcterms:W3CDTF">2024-04-19T16:06:25Z</dcterms:modified>
</cp:coreProperties>
</file>