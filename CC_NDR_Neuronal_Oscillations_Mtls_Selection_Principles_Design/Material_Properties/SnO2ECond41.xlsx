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8755FA23-4ED5-6C4A-AB0A-F8C97CF78EAB}" xr6:coauthVersionLast="47" xr6:coauthVersionMax="47" xr10:uidLastSave="{00000000-0000-0000-0000-000000000000}"/>
  <bookViews>
    <workbookView xWindow="30060" yWindow="3620" windowWidth="26040" windowHeight="14340" xr2:uid="{14A3C3DB-A91E-A34E-8D3B-DD46FF3B9758}"/>
  </bookViews>
  <sheets>
    <sheet name="Sheet1" sheetId="2" r:id="rId1"/>
    <sheet name="SnO2ECond4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 s="1"/>
  <c r="C5" i="1"/>
  <c r="D5" i="1"/>
  <c r="E5" i="1"/>
  <c r="C6" i="1"/>
  <c r="D6" i="1"/>
  <c r="E6" i="1"/>
  <c r="C7" i="1"/>
  <c r="D7" i="1"/>
  <c r="E7" i="1" s="1"/>
  <c r="C8" i="1"/>
  <c r="D8" i="1"/>
  <c r="E8" i="1" s="1"/>
  <c r="C9" i="1"/>
  <c r="D9" i="1"/>
  <c r="E9" i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<sst xmlns="http://schemas.openxmlformats.org/spreadsheetml/2006/main" count="7" uniqueCount="5">
  <si>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</si>
  <si>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Ohm cm</t>
  </si>
  <si>
    <t>T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</si>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</sst>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32EB-2BD6-9845-8848-201EF15C84F4}">
  <dimension ref="A1:B9"/>
  <sheetViews>
    <sheetView tabSelected="1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>
        <v>290.83431257344375</v>
      </c>
      <c r="B2">
        <v>281.85106312554507</v>
      </c>
    </row>
    <row r="3" spans="1:2" x14ac:dyDescent="0.2">
      <c r="A3">
        <v>239.1304347826088</v>
      </c>
      <c r="B3">
        <v>280.28891952416279</v>
      </c>
    </row>
    <row r="4" spans="1:2" x14ac:dyDescent="0.2">
      <c r="A4">
        <v>199.75786924939493</v>
      </c>
      <c r="B4">
        <v>274.43298608328291</v>
      </c>
    </row>
    <row r="5" spans="1:2" x14ac:dyDescent="0.2">
      <c r="A5">
        <v>171.99444058373882</v>
      </c>
      <c r="B5">
        <v>242.02744728382504</v>
      </c>
    </row>
    <row r="6" spans="1:2" x14ac:dyDescent="0.2">
      <c r="A6">
        <v>146.7101363366925</v>
      </c>
      <c r="B6">
        <v>209.97604409410172</v>
      </c>
    </row>
    <row r="7" spans="1:2" x14ac:dyDescent="0.2">
      <c r="A7">
        <v>124.30939226519342</v>
      </c>
      <c r="B7">
        <v>173.88404731905277</v>
      </c>
    </row>
    <row r="8" spans="1:2" x14ac:dyDescent="0.2">
      <c r="A8">
        <v>98.566308243728045</v>
      </c>
      <c r="B8">
        <v>132.75432183611434</v>
      </c>
    </row>
    <row r="9" spans="1:2" x14ac:dyDescent="0.2">
      <c r="A9">
        <v>85.022329096530839</v>
      </c>
      <c r="B9">
        <v>107.99056319275111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8D7-CFDC-544C-B2B5-E194A205294F}">
  <dimension ref="A1:E9"/>
  <sheetViews>
    <sheetView workbookViewId="0">
      <selection activeCell="E1" sqref="E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3.4383838383838299</v>
      </c>
      <c r="B2">
        <v>0.35479731348558702</v>
      </c>
      <c r="C2">
        <f>1000/A2</f>
        <v>290.83431257344375</v>
      </c>
      <c r="D2">
        <f>1/B2</f>
        <v>2.8185106312554509</v>
      </c>
      <c r="E2">
        <f>D2*100</f>
        <v>281.85106312554507</v>
      </c>
    </row>
    <row r="3" spans="1:5" x14ac:dyDescent="0.2">
      <c r="A3">
        <v>4.1818181818181799</v>
      </c>
      <c r="B3">
        <v>0.35677471720882398</v>
      </c>
      <c r="C3">
        <f t="shared" ref="C3:C9" si="0">1000/A3</f>
        <v>239.1304347826088</v>
      </c>
      <c r="D3">
        <f t="shared" ref="D3:D9" si="1">1/B3</f>
        <v>2.8028891952416277</v>
      </c>
      <c r="E3">
        <f t="shared" ref="E3:E9" si="2">D3*100</f>
        <v>280.28891952416279</v>
      </c>
    </row>
    <row r="4" spans="1:5" x14ac:dyDescent="0.2">
      <c r="A4">
        <v>5.0060606060605997</v>
      </c>
      <c r="B4">
        <v>0.36438768322716403</v>
      </c>
      <c r="C4">
        <f t="shared" si="0"/>
        <v>199.75786924939493</v>
      </c>
      <c r="D4">
        <f t="shared" si="1"/>
        <v>2.744329860832829</v>
      </c>
      <c r="E4">
        <f t="shared" si="2"/>
        <v>274.43298608328291</v>
      </c>
    </row>
    <row r="5" spans="1:5" x14ac:dyDescent="0.2">
      <c r="A5">
        <v>5.8141414141414103</v>
      </c>
      <c r="B5">
        <v>0.41317627865045498</v>
      </c>
      <c r="C5">
        <f t="shared" si="0"/>
        <v>171.99444058373882</v>
      </c>
      <c r="D5">
        <f t="shared" si="1"/>
        <v>2.4202744728382504</v>
      </c>
      <c r="E5">
        <f t="shared" si="2"/>
        <v>242.02744728382504</v>
      </c>
    </row>
    <row r="6" spans="1:5" x14ac:dyDescent="0.2">
      <c r="A6">
        <v>6.8161616161616099</v>
      </c>
      <c r="B6">
        <v>0.47624480417006299</v>
      </c>
      <c r="C6">
        <f t="shared" si="0"/>
        <v>146.7101363366925</v>
      </c>
      <c r="D6">
        <f t="shared" si="1"/>
        <v>2.0997604409410173</v>
      </c>
      <c r="E6">
        <f t="shared" si="2"/>
        <v>209.97604409410172</v>
      </c>
    </row>
    <row r="7" spans="1:5" x14ac:dyDescent="0.2">
      <c r="A7">
        <v>8.0444444444444407</v>
      </c>
      <c r="B7">
        <v>0.57509588453801097</v>
      </c>
      <c r="C7">
        <f t="shared" si="0"/>
        <v>124.30939226519342</v>
      </c>
      <c r="D7">
        <f t="shared" si="1"/>
        <v>1.7388404731905276</v>
      </c>
      <c r="E7">
        <f t="shared" si="2"/>
        <v>173.88404731905277</v>
      </c>
    </row>
    <row r="8" spans="1:5" x14ac:dyDescent="0.2">
      <c r="A8">
        <v>10.1454545454545</v>
      </c>
      <c r="B8">
        <v>0.75327114490065605</v>
      </c>
      <c r="C8">
        <f t="shared" si="0"/>
        <v>98.566308243728045</v>
      </c>
      <c r="D8">
        <f t="shared" si="1"/>
        <v>1.3275432183611433</v>
      </c>
      <c r="E8">
        <f t="shared" si="2"/>
        <v>132.75432183611434</v>
      </c>
    </row>
    <row r="9" spans="1:5" x14ac:dyDescent="0.2">
      <c r="A9">
        <v>11.7616161616161</v>
      </c>
      <c r="B9">
        <v>0.92600683840782605</v>
      </c>
      <c r="C9">
        <f t="shared" si="0"/>
        <v>85.022329096530839</v>
      </c>
      <c r="D9">
        <f t="shared" si="1"/>
        <v>1.0799056319275111</v>
      </c>
      <c r="E9">
        <f t="shared" si="2"/>
        <v>107.99056319275111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SnO2ECond41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2024-07-02T16:31:54Z</dcterms:created>
  <dcterms:modified xsi:type="dcterms:W3CDTF">2024-07-02T16:31:54Z</dcterms:modified>
</cp:coreProperties>
</file>