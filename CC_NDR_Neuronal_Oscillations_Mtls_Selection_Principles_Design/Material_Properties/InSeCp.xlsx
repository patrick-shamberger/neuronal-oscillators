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nychong/Desktop/Ashby Project/Main Code/"/>
    </mc:Choice>
  </mc:AlternateContent>
  <xr:revisionPtr revIDLastSave="0" documentId="8_{59FAED88-65C6-C34B-935E-6F6710E41193}" xr6:coauthVersionLast="47" xr6:coauthVersionMax="47" xr10:uidLastSave="{00000000-0000-0000-0000-000000000000}"/>
  <bookViews>
    <workbookView xWindow="2720" yWindow="1920" windowWidth="26440" windowHeight="14840" xr2:uid="{79CF800A-FBEB-6E43-BAC1-70BB43CD60E3}"/>
  </bookViews>
  <sheets>
    <sheet name="Sheet1" sheetId="2" r:id="rId1"/>
    <sheet name="InSeCp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2" i="1"/>
  <c r="H2" i="1"/>
</calcChain>
</file>

<file path=xl/sharedStrings.xml><?xml version="1.0" encoding="utf-8"?>
<sst xmlns="http://schemas.openxmlformats.org/spreadsheetml/2006/main" count="7" uniqueCount="5">
  <si>
    <t>T (K)</t>
  </si>
  <si>
    <t>Cp J/Kmol</t>
  </si>
  <si>
    <t>density</t>
  </si>
  <si>
    <t>mw</t>
  </si>
  <si>
    <t>J/m^3K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</si>
</sst>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44E7D-F33D-1145-BAAA-C5BCEB5A9C8A}">
  <dimension ref="A1:B13"/>
  <sheetViews>
    <sheetView tabSelected="1" workbookViewId="0">
      <selection activeCell="E18" sqref="E18"/>
    </sheetView>
  </sheetViews>
  <sheetFormatPr baseColWidth="10" defaultRowHeight="16" x14ac:dyDescent="0.2"/>
  <sheetData>
    <row r="1" spans="1:2" x14ac:dyDescent="0.2">
      <c r="A1" t="s">
        <v>0</v>
      </c>
      <c r="B1" t="s">
        <v>4</v>
      </c>
    </row>
    <row r="2" spans="1:2" x14ac:dyDescent="0.2">
      <c r="A2">
        <v>13.0117377612367</v>
      </c>
      <c r="B2">
        <v>22814.428205925222</v>
      </c>
    </row>
    <row r="3" spans="1:2" x14ac:dyDescent="0.2">
      <c r="A3">
        <v>31.8064700830232</v>
      </c>
      <c r="B3">
        <v>186117.7037851788</v>
      </c>
    </row>
    <row r="4" spans="1:2" x14ac:dyDescent="0.2">
      <c r="A4">
        <v>88.419696535929006</v>
      </c>
      <c r="B4">
        <v>1029801.2626371898</v>
      </c>
    </row>
    <row r="5" spans="1:2" x14ac:dyDescent="0.2">
      <c r="A5">
        <v>111.233896364157</v>
      </c>
      <c r="B5">
        <v>1346381.4729788848</v>
      </c>
    </row>
    <row r="6" spans="1:2" x14ac:dyDescent="0.2">
      <c r="A6">
        <v>126.129401660463</v>
      </c>
      <c r="B6">
        <v>1529031.9840564549</v>
      </c>
    </row>
    <row r="7" spans="1:2" x14ac:dyDescent="0.2">
      <c r="A7">
        <v>153.177784139708</v>
      </c>
      <c r="B7">
        <v>1839038.0367967042</v>
      </c>
    </row>
    <row r="8" spans="1:2" x14ac:dyDescent="0.2">
      <c r="A8">
        <v>180.29487546521599</v>
      </c>
      <c r="B8">
        <v>2097891.7399805123</v>
      </c>
    </row>
    <row r="9" spans="1:2" x14ac:dyDescent="0.2">
      <c r="A9">
        <v>200.15173203549901</v>
      </c>
      <c r="B9">
        <v>2256887.2912866729</v>
      </c>
    </row>
    <row r="10" spans="1:2" x14ac:dyDescent="0.2">
      <c r="A10">
        <v>229.45605496707699</v>
      </c>
      <c r="B10">
        <v>2460235.8921642229</v>
      </c>
    </row>
    <row r="11" spans="1:2" x14ac:dyDescent="0.2">
      <c r="A11">
        <v>260.90466647580899</v>
      </c>
      <c r="B11">
        <v>2640049.6092082704</v>
      </c>
    </row>
    <row r="12" spans="1:2" x14ac:dyDescent="0.2">
      <c r="A12">
        <v>319.01231033495498</v>
      </c>
      <c r="B12">
        <v>2895451.1291767065</v>
      </c>
    </row>
    <row r="13" spans="1:2" x14ac:dyDescent="0.2">
      <c r="A13">
        <v>341.07357572287401</v>
      </c>
      <c r="B13">
        <v>2986153.4907874982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B40CC-AF50-B541-B654-2C92CB66E000}">
  <dimension ref="A1:H13"/>
  <sheetViews>
    <sheetView workbookViewId="0">
      <selection activeCell="C1" sqref="C1:C1048576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4</v>
      </c>
    </row>
    <row r="2" spans="1:8" x14ac:dyDescent="0.2">
      <c r="A2">
        <v>13.0117377612367</v>
      </c>
      <c r="B2">
        <v>0.87031205267678002</v>
      </c>
      <c r="C2">
        <f>B2*$H$2/$H$3</f>
        <v>22814.428205925222</v>
      </c>
      <c r="G2" t="s">
        <v>2</v>
      </c>
      <c r="H2">
        <f>5.08*10^6</f>
        <v>5080000</v>
      </c>
    </row>
    <row r="3" spans="1:8" x14ac:dyDescent="0.2">
      <c r="A3">
        <v>31.8064700830232</v>
      </c>
      <c r="B3">
        <v>7.0999141139421296</v>
      </c>
      <c r="C3">
        <f t="shared" ref="C3:C13" si="0">B3*$H$2/$H$3</f>
        <v>186117.7037851788</v>
      </c>
      <c r="G3" t="s">
        <v>3</v>
      </c>
      <c r="H3">
        <v>193.78899999999999</v>
      </c>
    </row>
    <row r="4" spans="1:8" x14ac:dyDescent="0.2">
      <c r="A4">
        <v>88.419696535929006</v>
      </c>
      <c r="B4">
        <v>39.284282851416997</v>
      </c>
      <c r="C4">
        <f t="shared" si="0"/>
        <v>1029801.2626371898</v>
      </c>
    </row>
    <row r="5" spans="1:8" x14ac:dyDescent="0.2">
      <c r="A5">
        <v>111.233896364157</v>
      </c>
      <c r="B5">
        <v>51.361007729745097</v>
      </c>
      <c r="C5">
        <f t="shared" si="0"/>
        <v>1346381.4729788848</v>
      </c>
    </row>
    <row r="6" spans="1:8" x14ac:dyDescent="0.2">
      <c r="A6">
        <v>126.129401660463</v>
      </c>
      <c r="B6">
        <v>58.328657314629197</v>
      </c>
      <c r="C6">
        <f t="shared" si="0"/>
        <v>1529031.9840564549</v>
      </c>
    </row>
    <row r="7" spans="1:8" x14ac:dyDescent="0.2">
      <c r="A7">
        <v>153.177784139708</v>
      </c>
      <c r="B7">
        <v>70.154594904093798</v>
      </c>
      <c r="C7">
        <f t="shared" si="0"/>
        <v>1839038.0367967042</v>
      </c>
    </row>
    <row r="8" spans="1:8" x14ac:dyDescent="0.2">
      <c r="A8">
        <v>180.29487546521599</v>
      </c>
      <c r="B8">
        <v>80.029201259662102</v>
      </c>
      <c r="C8">
        <f t="shared" si="0"/>
        <v>2097891.7399805123</v>
      </c>
    </row>
    <row r="9" spans="1:8" x14ac:dyDescent="0.2">
      <c r="A9">
        <v>200.15173203549901</v>
      </c>
      <c r="B9">
        <v>86.0944746636128</v>
      </c>
      <c r="C9">
        <f t="shared" si="0"/>
        <v>2256887.2912866729</v>
      </c>
    </row>
    <row r="10" spans="1:8" x14ac:dyDescent="0.2">
      <c r="A10">
        <v>229.45605496707699</v>
      </c>
      <c r="B10">
        <v>93.851703406813499</v>
      </c>
      <c r="C10">
        <f t="shared" si="0"/>
        <v>2460235.8921642229</v>
      </c>
    </row>
    <row r="11" spans="1:8" x14ac:dyDescent="0.2">
      <c r="A11">
        <v>260.90466647580899</v>
      </c>
      <c r="B11">
        <v>100.711136558831</v>
      </c>
      <c r="C11">
        <f t="shared" si="0"/>
        <v>2640049.6092082704</v>
      </c>
    </row>
    <row r="12" spans="1:8" x14ac:dyDescent="0.2">
      <c r="A12">
        <v>319.01231033495498</v>
      </c>
      <c r="B12">
        <v>110.45405095906</v>
      </c>
      <c r="C12">
        <f t="shared" si="0"/>
        <v>2895451.1291767065</v>
      </c>
    </row>
    <row r="13" spans="1:8" x14ac:dyDescent="0.2">
      <c r="A13">
        <v>341.07357572287401</v>
      </c>
      <c r="B13">
        <v>113.914113942169</v>
      </c>
      <c r="C13">
        <f t="shared" si="0"/>
        <v>2986153.4907874982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InSeCp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Chong, Jenny L</cp:lastModifiedBy>
  <dcterms:created xsi:type="dcterms:W3CDTF">2024-06-28T18:12:11Z</dcterms:created>
  <dcterms:modified xsi:type="dcterms:W3CDTF">2024-06-28T18:12:11Z</dcterms:modified>
</cp:coreProperties>
</file>