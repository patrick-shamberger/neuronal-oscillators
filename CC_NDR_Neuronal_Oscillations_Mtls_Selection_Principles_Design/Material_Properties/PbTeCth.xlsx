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Material properties\"/>
    </mc:Choice>
  </mc:AlternateContent>
  <xr:revisionPtr revIDLastSave="0" documentId="8_{685BEB89-2EA1-4C78-8026-E01AB44FAFBD}" xr6:coauthVersionLast="36" xr6:coauthVersionMax="36" xr10:uidLastSave="{00000000-0000-0000-0000-000000000000}"/>
  <bookViews>
    <workbookView xWindow="0" yWindow="0" windowWidth="28800" windowHeight="12225"/>
  </bookViews>
  <sheets>
    <sheet name="Sheet1" sheetId="2" r:id="rId1"/>
    <sheet name="PbTeCp" sheetId="1" r:id="rId2"/>
  </sheets>
  <calcPr calcId="0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" i="1"/>
  <c r="G3" i="1"/>
</calcChain>
</file>

<file path=xl/sharedStrings.xml><?xml version="1.0" encoding="utf-8"?>
<sst xmlns="http://schemas.openxmlformats.org/spreadsheetml/2006/main" count="9" uniqueCount="7">
  <si>
    <t>T (K)</t>
  </si>
  <si>
    <t>Cp (J/kgK)</t>
  </si>
  <si>
    <t>Cth (J/m^3K)</t>
  </si>
  <si>
    <t>Density (g/m^3)</t>
  </si>
  <si>
    <t>J/Gk</t>
  </si>
  <si>
    <t>https://link.springer.com/article/10.1007/bf00502357?utm_source=getftr&amp;utm_medium=getftr&amp;utm_campaign=getftr_pilot</t>
  </si>
  <si>
    <t>fig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</si>
</sst>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workbookViewId="0">
      <selection activeCell="D5" sqref="D5"/>
    </sheetView>
  </sheetViews>
  <sheetFormatPr defaultRowHeight="15" x14ac:dyDescent="0.25"/>
  <sheetData>
    <row r="1" spans="1:4" x14ac:dyDescent="0.25">
      <c r="A1" t="s">
        <v>0</v>
      </c>
      <c r="B1" t="s">
        <v>2</v>
      </c>
    </row>
    <row r="2" spans="1:4" x14ac:dyDescent="0.25">
      <c r="A2">
        <v>300.765196239896</v>
      </c>
      <c r="B2">
        <v>24452.859958952969</v>
      </c>
    </row>
    <row r="3" spans="1:4" x14ac:dyDescent="0.25">
      <c r="A3">
        <v>325.92292294828502</v>
      </c>
      <c r="B3">
        <v>25612.948539285942</v>
      </c>
      <c r="D3" t="s">
        <v>5</v>
      </c>
    </row>
    <row r="4" spans="1:4" x14ac:dyDescent="0.25">
      <c r="A4">
        <v>342.52413408670498</v>
      </c>
      <c r="B4">
        <v>26397.21164517185</v>
      </c>
      <c r="D4" t="s">
        <v>6</v>
      </c>
    </row>
    <row r="5" spans="1:4" x14ac:dyDescent="0.25">
      <c r="A5">
        <v>361.64390503458498</v>
      </c>
      <c r="B5">
        <v>27279.531760711474</v>
      </c>
    </row>
    <row r="6" spans="1:4" x14ac:dyDescent="0.25">
      <c r="A6">
        <v>381.29323232067202</v>
      </c>
      <c r="B6">
        <v>28015.000684115832</v>
      </c>
    </row>
    <row r="7" spans="1:4" x14ac:dyDescent="0.25">
      <c r="A7">
        <v>399.46030861225802</v>
      </c>
      <c r="B7">
        <v>28505.58897306606</v>
      </c>
    </row>
    <row r="8" spans="1:4" x14ac:dyDescent="0.25">
      <c r="A8">
        <v>421.18225352826403</v>
      </c>
      <c r="B8">
        <v>28947.410646869521</v>
      </c>
    </row>
    <row r="9" spans="1:4" x14ac:dyDescent="0.25">
      <c r="A9">
        <v>439.825677147997</v>
      </c>
      <c r="B9">
        <v>29633.864849114449</v>
      </c>
    </row>
    <row r="10" spans="1:4" x14ac:dyDescent="0.25">
      <c r="A10">
        <v>463.05014315757398</v>
      </c>
      <c r="B10">
        <v>30190.008260065311</v>
      </c>
    </row>
    <row r="11" spans="1:4" x14ac:dyDescent="0.25">
      <c r="A11">
        <v>480.73580459624401</v>
      </c>
      <c r="B11">
        <v>30517.370360047564</v>
      </c>
    </row>
    <row r="12" spans="1:4" x14ac:dyDescent="0.25">
      <c r="A12">
        <v>500.425672080472</v>
      </c>
      <c r="B12">
        <v>30991.721488838721</v>
      </c>
    </row>
    <row r="13" spans="1:4" x14ac:dyDescent="0.25">
      <c r="A13">
        <v>520.64002837813803</v>
      </c>
      <c r="B13">
        <v>31351.861149821332</v>
      </c>
    </row>
    <row r="14" spans="1:4" x14ac:dyDescent="0.25">
      <c r="A14">
        <v>541.84761953023997</v>
      </c>
      <c r="B14">
        <v>31842.614842779974</v>
      </c>
    </row>
    <row r="15" spans="1:4" x14ac:dyDescent="0.25">
      <c r="A15">
        <v>561.08394354777397</v>
      </c>
      <c r="B15">
        <v>31974.221298806555</v>
      </c>
    </row>
    <row r="16" spans="1:4" x14ac:dyDescent="0.25">
      <c r="A16">
        <v>583.35571490105599</v>
      </c>
      <c r="B16">
        <v>32138.632883168186</v>
      </c>
    </row>
    <row r="17" spans="1:2" x14ac:dyDescent="0.25">
      <c r="A17">
        <v>601.51772366787395</v>
      </c>
      <c r="B17">
        <v>32661.860896445134</v>
      </c>
    </row>
    <row r="18" spans="1:2" x14ac:dyDescent="0.25">
      <c r="A18">
        <v>621.75995135176197</v>
      </c>
      <c r="B18">
        <v>32842.482073631072</v>
      </c>
    </row>
    <row r="19" spans="1:2" x14ac:dyDescent="0.25">
      <c r="A19">
        <v>641.52329794511797</v>
      </c>
      <c r="B19">
        <v>32843.557199685776</v>
      </c>
    </row>
    <row r="20" spans="1:2" x14ac:dyDescent="0.25">
      <c r="A20">
        <v>661.78326196569196</v>
      </c>
      <c r="B20">
        <v>32909.939341728466</v>
      </c>
    </row>
    <row r="21" spans="1:2" x14ac:dyDescent="0.25">
      <c r="A21">
        <v>682.49676945296005</v>
      </c>
      <c r="B21">
        <v>33319.06615653581</v>
      </c>
    </row>
    <row r="22" spans="1:2" x14ac:dyDescent="0.25">
      <c r="A22">
        <v>702.77446981022104</v>
      </c>
      <c r="B22">
        <v>33271.209263435259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selection sqref="A1:A104857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4</v>
      </c>
      <c r="D1" t="s">
        <v>2</v>
      </c>
    </row>
    <row r="2" spans="1:7" x14ac:dyDescent="0.25">
      <c r="A2">
        <v>300.765196239896</v>
      </c>
      <c r="B2">
        <v>2.9966740145775699</v>
      </c>
      <c r="C2">
        <f>B2/1000</f>
        <v>2.99667401457757E-3</v>
      </c>
      <c r="D2">
        <f>C2*$G$3</f>
        <v>24452.859958952969</v>
      </c>
    </row>
    <row r="3" spans="1:7" x14ac:dyDescent="0.25">
      <c r="A3">
        <v>325.92292294828502</v>
      </c>
      <c r="B3">
        <v>3.1388417327556302</v>
      </c>
      <c r="C3">
        <f t="shared" ref="C3:C22" si="0">B3/1000</f>
        <v>3.1388417327556303E-3</v>
      </c>
      <c r="D3">
        <f t="shared" ref="D3:D22" si="1">C3*$G$3</f>
        <v>25612.948539285942</v>
      </c>
      <c r="F3" t="s">
        <v>3</v>
      </c>
      <c r="G3">
        <f>8.16*10^6</f>
        <v>8160000</v>
      </c>
    </row>
    <row r="4" spans="1:7" x14ac:dyDescent="0.25">
      <c r="A4">
        <v>342.52413408670498</v>
      </c>
      <c r="B4">
        <v>3.2349524074965501</v>
      </c>
      <c r="C4">
        <f t="shared" si="0"/>
        <v>3.2349524074965501E-3</v>
      </c>
      <c r="D4">
        <f t="shared" si="1"/>
        <v>26397.21164517185</v>
      </c>
    </row>
    <row r="5" spans="1:7" x14ac:dyDescent="0.25">
      <c r="A5">
        <v>361.64390503458498</v>
      </c>
      <c r="B5">
        <v>3.3430798726362099</v>
      </c>
      <c r="C5">
        <f t="shared" si="0"/>
        <v>3.3430798726362099E-3</v>
      </c>
      <c r="D5">
        <f t="shared" si="1"/>
        <v>27279.531760711474</v>
      </c>
    </row>
    <row r="6" spans="1:7" x14ac:dyDescent="0.25">
      <c r="A6">
        <v>381.29323232067202</v>
      </c>
      <c r="B6">
        <v>3.4332108681514502</v>
      </c>
      <c r="C6">
        <f t="shared" si="0"/>
        <v>3.4332108681514499E-3</v>
      </c>
      <c r="D6">
        <f t="shared" si="1"/>
        <v>28015.000684115832</v>
      </c>
    </row>
    <row r="7" spans="1:7" x14ac:dyDescent="0.25">
      <c r="A7">
        <v>399.46030861225802</v>
      </c>
      <c r="B7">
        <v>3.4933319819933901</v>
      </c>
      <c r="C7">
        <f t="shared" si="0"/>
        <v>3.4933319819933899E-3</v>
      </c>
      <c r="D7">
        <f t="shared" si="1"/>
        <v>28505.58897306606</v>
      </c>
    </row>
    <row r="8" spans="1:7" x14ac:dyDescent="0.25">
      <c r="A8">
        <v>421.18225352826403</v>
      </c>
      <c r="B8">
        <v>3.5474767949595001</v>
      </c>
      <c r="C8">
        <f t="shared" si="0"/>
        <v>3.5474767949595001E-3</v>
      </c>
      <c r="D8">
        <f t="shared" si="1"/>
        <v>28947.410646869521</v>
      </c>
    </row>
    <row r="9" spans="1:7" x14ac:dyDescent="0.25">
      <c r="A9">
        <v>439.825677147997</v>
      </c>
      <c r="B9">
        <v>3.6316010844502999</v>
      </c>
      <c r="C9">
        <f t="shared" si="0"/>
        <v>3.6316010844503E-3</v>
      </c>
      <c r="D9">
        <f t="shared" si="1"/>
        <v>29633.864849114449</v>
      </c>
    </row>
    <row r="10" spans="1:7" x14ac:dyDescent="0.25">
      <c r="A10">
        <v>463.05014315757398</v>
      </c>
      <c r="B10">
        <v>3.6997559142236902</v>
      </c>
      <c r="C10">
        <f t="shared" si="0"/>
        <v>3.6997559142236901E-3</v>
      </c>
      <c r="D10">
        <f t="shared" si="1"/>
        <v>30190.008260065311</v>
      </c>
    </row>
    <row r="11" spans="1:7" x14ac:dyDescent="0.25">
      <c r="A11">
        <v>480.73580459624401</v>
      </c>
      <c r="B11">
        <v>3.7398738186332801</v>
      </c>
      <c r="C11">
        <f t="shared" si="0"/>
        <v>3.73987381863328E-3</v>
      </c>
      <c r="D11">
        <f t="shared" si="1"/>
        <v>30517.370360047564</v>
      </c>
    </row>
    <row r="12" spans="1:7" x14ac:dyDescent="0.25">
      <c r="A12">
        <v>500.425672080472</v>
      </c>
      <c r="B12">
        <v>3.7980050844165101</v>
      </c>
      <c r="C12">
        <f t="shared" si="0"/>
        <v>3.7980050844165099E-3</v>
      </c>
      <c r="D12">
        <f t="shared" si="1"/>
        <v>30991.721488838721</v>
      </c>
    </row>
    <row r="13" spans="1:7" x14ac:dyDescent="0.25">
      <c r="A13">
        <v>520.64002837813803</v>
      </c>
      <c r="B13">
        <v>3.84213984679183</v>
      </c>
      <c r="C13">
        <f t="shared" si="0"/>
        <v>3.8421398467918299E-3</v>
      </c>
      <c r="D13">
        <f t="shared" si="1"/>
        <v>31351.861149821332</v>
      </c>
    </row>
    <row r="14" spans="1:7" x14ac:dyDescent="0.25">
      <c r="A14">
        <v>541.84761953023997</v>
      </c>
      <c r="B14">
        <v>3.9022812307328398</v>
      </c>
      <c r="C14">
        <f t="shared" si="0"/>
        <v>3.90228123073284E-3</v>
      </c>
      <c r="D14">
        <f t="shared" si="1"/>
        <v>31842.614842779974</v>
      </c>
    </row>
    <row r="15" spans="1:7" x14ac:dyDescent="0.25">
      <c r="A15">
        <v>561.08394354777397</v>
      </c>
      <c r="B15">
        <v>3.9184094728929599</v>
      </c>
      <c r="C15">
        <f t="shared" si="0"/>
        <v>3.9184094728929603E-3</v>
      </c>
      <c r="D15">
        <f t="shared" si="1"/>
        <v>31974.221298806555</v>
      </c>
    </row>
    <row r="16" spans="1:7" x14ac:dyDescent="0.25">
      <c r="A16">
        <v>583.35571490105599</v>
      </c>
      <c r="B16">
        <v>3.9385579513686499</v>
      </c>
      <c r="C16">
        <f t="shared" si="0"/>
        <v>3.9385579513686502E-3</v>
      </c>
      <c r="D16">
        <f t="shared" si="1"/>
        <v>32138.632883168186</v>
      </c>
    </row>
    <row r="17" spans="1:4" x14ac:dyDescent="0.25">
      <c r="A17">
        <v>601.51772366787395</v>
      </c>
      <c r="B17">
        <v>4.0026790314270997</v>
      </c>
      <c r="C17">
        <f t="shared" si="0"/>
        <v>4.0026790314270999E-3</v>
      </c>
      <c r="D17">
        <f t="shared" si="1"/>
        <v>32661.860896445134</v>
      </c>
    </row>
    <row r="18" spans="1:4" x14ac:dyDescent="0.25">
      <c r="A18">
        <v>621.75995135176197</v>
      </c>
      <c r="B18">
        <v>4.0248139796116504</v>
      </c>
      <c r="C18">
        <f t="shared" si="0"/>
        <v>4.0248139796116508E-3</v>
      </c>
      <c r="D18">
        <f t="shared" si="1"/>
        <v>32842.482073631072</v>
      </c>
    </row>
    <row r="19" spans="1:4" x14ac:dyDescent="0.25">
      <c r="A19">
        <v>641.52329794511797</v>
      </c>
      <c r="B19">
        <v>4.0249457352556099</v>
      </c>
      <c r="C19">
        <f t="shared" si="0"/>
        <v>4.0249457352556101E-3</v>
      </c>
      <c r="D19">
        <f t="shared" si="1"/>
        <v>32843.557199685776</v>
      </c>
    </row>
    <row r="20" spans="1:4" x14ac:dyDescent="0.25">
      <c r="A20">
        <v>661.78326196569196</v>
      </c>
      <c r="B20">
        <v>4.0330808016824102</v>
      </c>
      <c r="C20">
        <f t="shared" si="0"/>
        <v>4.0330808016824102E-3</v>
      </c>
      <c r="D20">
        <f t="shared" si="1"/>
        <v>32909.939341728466</v>
      </c>
    </row>
    <row r="21" spans="1:4" x14ac:dyDescent="0.25">
      <c r="A21">
        <v>682.49676945296005</v>
      </c>
      <c r="B21">
        <v>4.0832188917323302</v>
      </c>
      <c r="C21">
        <f t="shared" si="0"/>
        <v>4.0832188917323299E-3</v>
      </c>
      <c r="D21">
        <f t="shared" si="1"/>
        <v>33319.06615653581</v>
      </c>
    </row>
    <row r="22" spans="1:4" x14ac:dyDescent="0.25">
      <c r="A22">
        <v>702.77446981022104</v>
      </c>
      <c r="B22">
        <v>4.07735407640138</v>
      </c>
      <c r="C22">
        <f t="shared" si="0"/>
        <v>4.0773540764013801E-3</v>
      </c>
      <c r="D22">
        <f t="shared" si="1"/>
        <v>33271.209263435259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PbTeCp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2024-04-02T17:22:45Z</dcterms:created>
  <dcterms:modified xsi:type="dcterms:W3CDTF">2024-04-02T17:22:45Z</dcterms:modified>
</cp:coreProperties>
</file>