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EB5D5202-B916-45E3-BC21-4D64760EED19}" xr6:coauthVersionLast="36" xr6:coauthVersionMax="36" xr10:uidLastSave="{00000000-0000-0000-0000-000000000000}"/>
  <bookViews>
    <workbookView xWindow="0" yWindow="0" windowWidth="14040" windowHeight="8535"/>
  </bookViews>
  <sheets>
    <sheet name="Sheet1" sheetId="2" r:id="rId1"/>
    <sheet name="WSe2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 s="1"/>
  <c r="C4" i="1"/>
  <c r="D4" i="1"/>
  <c r="E4" i="1" s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 s="1"/>
  <c r="C10" i="1"/>
  <c r="D10" i="1"/>
  <c r="E10" i="1" s="1"/>
  <c r="C11" i="1"/>
  <c r="D11" i="1"/>
  <c r="E11" i="1" s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 s="1"/>
  <c r="C17" i="1"/>
  <c r="D17" i="1"/>
  <c r="E17" i="1" s="1"/>
  <c r="C18" i="1"/>
  <c r="D18" i="1"/>
  <c r="E18" i="1" s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 s="1"/>
  <c r="C25" i="1"/>
  <c r="D25" i="1"/>
  <c r="E25" i="1"/>
  <c r="D2" i="1"/>
  <c r="E2" i="1" s="1"/>
  <c r="C2" i="1"/>
</calcChain>
</file>

<file path=xl/sharedStrings.xml><?xml version="1.0" encoding="utf-8"?>
<sst xmlns="http://schemas.openxmlformats.org/spreadsheetml/2006/main" count="7" uniqueCount="5">
  <si>
    <t>1000/T</t>
  </si>
  <si>
    <t>ln sigma S/cm</t>
  </si>
  <si>
    <t>T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</si>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</sst>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20" sqref="D20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284.88891021642132</v>
      </c>
      <c r="B2">
        <v>45.215126870057013</v>
      </c>
    </row>
    <row r="3" spans="1:2" x14ac:dyDescent="0.25">
      <c r="A3">
        <v>273.47561116050264</v>
      </c>
      <c r="B3">
        <v>41.619082163208468</v>
      </c>
    </row>
    <row r="4" spans="1:2" x14ac:dyDescent="0.25">
      <c r="A4">
        <v>266.787699580729</v>
      </c>
      <c r="B4">
        <v>37.265260186535428</v>
      </c>
    </row>
    <row r="5" spans="1:2" x14ac:dyDescent="0.25">
      <c r="A5">
        <v>259.18665822619067</v>
      </c>
      <c r="B5">
        <v>33.987081586032133</v>
      </c>
    </row>
    <row r="6" spans="1:2" x14ac:dyDescent="0.25">
      <c r="A6">
        <v>250.85247079204811</v>
      </c>
      <c r="B6">
        <v>31.573421471994244</v>
      </c>
    </row>
    <row r="7" spans="1:2" x14ac:dyDescent="0.25">
      <c r="A7">
        <v>244.12489154436753</v>
      </c>
      <c r="B7">
        <v>29.876345749127424</v>
      </c>
    </row>
    <row r="8" spans="1:2" x14ac:dyDescent="0.25">
      <c r="A8">
        <v>235.1831971255744</v>
      </c>
      <c r="B8">
        <v>26.022082598914132</v>
      </c>
    </row>
    <row r="9" spans="1:2" x14ac:dyDescent="0.25">
      <c r="A9">
        <v>225.00407423830717</v>
      </c>
      <c r="B9">
        <v>22.251462906304752</v>
      </c>
    </row>
    <row r="10" spans="1:2" x14ac:dyDescent="0.25">
      <c r="A10">
        <v>215.67031881193907</v>
      </c>
      <c r="B10">
        <v>19.203222528126982</v>
      </c>
    </row>
    <row r="11" spans="1:2" x14ac:dyDescent="0.25">
      <c r="A11">
        <v>207.4672556228075</v>
      </c>
      <c r="B11">
        <v>15.395628874611972</v>
      </c>
    </row>
    <row r="12" spans="1:2" x14ac:dyDescent="0.25">
      <c r="A12">
        <v>199.50868868270092</v>
      </c>
      <c r="B12">
        <v>13.785073719259659</v>
      </c>
    </row>
    <row r="13" spans="1:2" x14ac:dyDescent="0.25">
      <c r="A13">
        <v>193.15397854640014</v>
      </c>
      <c r="B13">
        <v>11.896648742252815</v>
      </c>
    </row>
    <row r="14" spans="1:2" x14ac:dyDescent="0.25">
      <c r="A14">
        <v>187.19218035629845</v>
      </c>
      <c r="B14">
        <v>10.361895622064662</v>
      </c>
    </row>
    <row r="15" spans="1:2" x14ac:dyDescent="0.25">
      <c r="A15">
        <v>183.72336277379969</v>
      </c>
      <c r="B15">
        <v>9.0251366757786453</v>
      </c>
    </row>
    <row r="16" spans="1:2" x14ac:dyDescent="0.25">
      <c r="A16">
        <v>177.45575413016263</v>
      </c>
      <c r="B16">
        <v>8.2312066248663527</v>
      </c>
    </row>
    <row r="17" spans="1:2" x14ac:dyDescent="0.25">
      <c r="A17">
        <v>170.53007715331287</v>
      </c>
      <c r="B17">
        <v>7.3701302523181909</v>
      </c>
    </row>
    <row r="18" spans="1:2" x14ac:dyDescent="0.25">
      <c r="A18">
        <v>167.39317998545098</v>
      </c>
      <c r="B18">
        <v>6.8467258117146379</v>
      </c>
    </row>
    <row r="19" spans="1:2" x14ac:dyDescent="0.25">
      <c r="A19">
        <v>160.03320996406748</v>
      </c>
      <c r="B19">
        <v>5.6429128139498506</v>
      </c>
    </row>
    <row r="20" spans="1:2" x14ac:dyDescent="0.25">
      <c r="A20">
        <v>156.14241341128897</v>
      </c>
      <c r="B20">
        <v>5.0062896297921506</v>
      </c>
    </row>
    <row r="21" spans="1:2" x14ac:dyDescent="0.25">
      <c r="A21">
        <v>152.43553302881168</v>
      </c>
      <c r="B21">
        <v>4.3604423162877408</v>
      </c>
    </row>
    <row r="22" spans="1:2" x14ac:dyDescent="0.25">
      <c r="A22">
        <v>148.09308451593117</v>
      </c>
      <c r="B22">
        <v>3.7286108860482612</v>
      </c>
    </row>
    <row r="23" spans="1:2" x14ac:dyDescent="0.25">
      <c r="A23">
        <v>144.37216541225402</v>
      </c>
      <c r="B23">
        <v>3.247593305777432</v>
      </c>
    </row>
    <row r="24" spans="1:2" x14ac:dyDescent="0.25">
      <c r="A24">
        <v>140.47009497489594</v>
      </c>
      <c r="B24">
        <v>2.7013513238077707</v>
      </c>
    </row>
    <row r="25" spans="1:2" x14ac:dyDescent="0.25">
      <c r="A25">
        <v>132.1359018017117</v>
      </c>
      <c r="B25">
        <v>1.7046281303290751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C3" sqref="C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3.5101401428378902</v>
      </c>
      <c r="B2">
        <v>-0.79373848987108697</v>
      </c>
      <c r="C2">
        <f>1000/A2</f>
        <v>284.88891021642132</v>
      </c>
      <c r="D2">
        <f>EXP(B2)</f>
        <v>0.45215126870057015</v>
      </c>
      <c r="E2">
        <f>D2*100</f>
        <v>45.215126870057013</v>
      </c>
    </row>
    <row r="3" spans="1:5" x14ac:dyDescent="0.25">
      <c r="A3">
        <v>3.6566332030723601</v>
      </c>
      <c r="B3">
        <v>-0.87661141804788201</v>
      </c>
      <c r="C3">
        <f t="shared" ref="C3:C25" si="0">1000/A3</f>
        <v>273.47561116050264</v>
      </c>
      <c r="D3">
        <f t="shared" ref="D3:D25" si="1">EXP(B3)</f>
        <v>0.41619082163208465</v>
      </c>
      <c r="E3">
        <f t="shared" ref="E3:E25" si="2">D3*100</f>
        <v>41.619082163208468</v>
      </c>
    </row>
    <row r="4" spans="1:5" x14ac:dyDescent="0.25">
      <c r="A4">
        <v>3.7482987467996201</v>
      </c>
      <c r="B4">
        <v>-0.98710865561694305</v>
      </c>
      <c r="C4">
        <f t="shared" si="0"/>
        <v>266.787699580729</v>
      </c>
      <c r="D4">
        <f t="shared" si="1"/>
        <v>0.37265260186535426</v>
      </c>
      <c r="E4">
        <f t="shared" si="2"/>
        <v>37.265260186535428</v>
      </c>
    </row>
    <row r="5" spans="1:5" x14ac:dyDescent="0.25">
      <c r="A5">
        <v>3.8582232852715199</v>
      </c>
      <c r="B5">
        <v>-1.0791896869244899</v>
      </c>
      <c r="C5">
        <f t="shared" si="0"/>
        <v>259.18665822619067</v>
      </c>
      <c r="D5">
        <f t="shared" si="1"/>
        <v>0.33987081586032136</v>
      </c>
      <c r="E5">
        <f t="shared" si="2"/>
        <v>33.987081586032133</v>
      </c>
    </row>
    <row r="6" spans="1:5" x14ac:dyDescent="0.25">
      <c r="A6">
        <v>3.9864068184880699</v>
      </c>
      <c r="B6">
        <v>-1.15285451197053</v>
      </c>
      <c r="C6">
        <f t="shared" si="0"/>
        <v>250.85247079204811</v>
      </c>
      <c r="D6">
        <f t="shared" si="1"/>
        <v>0.31573421471994245</v>
      </c>
      <c r="E6">
        <f t="shared" si="2"/>
        <v>31.573421471994244</v>
      </c>
    </row>
    <row r="7" spans="1:5" x14ac:dyDescent="0.25">
      <c r="A7">
        <v>4.0962639805955998</v>
      </c>
      <c r="B7">
        <v>-1.20810313075506</v>
      </c>
      <c r="C7">
        <f t="shared" si="0"/>
        <v>244.12489154436753</v>
      </c>
      <c r="D7">
        <f t="shared" si="1"/>
        <v>0.29876345749127425</v>
      </c>
      <c r="E7">
        <f t="shared" si="2"/>
        <v>29.876345749127424</v>
      </c>
    </row>
    <row r="8" spans="1:5" x14ac:dyDescent="0.25">
      <c r="A8">
        <v>4.25200444684004</v>
      </c>
      <c r="B8">
        <v>-1.34622467771639</v>
      </c>
      <c r="C8">
        <f t="shared" si="0"/>
        <v>235.1831971255744</v>
      </c>
      <c r="D8">
        <f t="shared" si="1"/>
        <v>0.26022082598914131</v>
      </c>
      <c r="E8">
        <f t="shared" si="2"/>
        <v>26.022082598914132</v>
      </c>
    </row>
    <row r="9" spans="1:5" x14ac:dyDescent="0.25">
      <c r="A9">
        <v>4.4443639671203297</v>
      </c>
      <c r="B9">
        <v>-1.50276243093922</v>
      </c>
      <c r="C9">
        <f t="shared" si="0"/>
        <v>225.00407423830717</v>
      </c>
      <c r="D9">
        <f t="shared" si="1"/>
        <v>0.22251462906304753</v>
      </c>
      <c r="E9">
        <f t="shared" si="2"/>
        <v>22.251462906304752</v>
      </c>
    </row>
    <row r="10" spans="1:5" x14ac:dyDescent="0.25">
      <c r="A10">
        <v>4.6367066433095196</v>
      </c>
      <c r="B10">
        <v>-1.6500920810313</v>
      </c>
      <c r="C10">
        <f t="shared" si="0"/>
        <v>215.67031881193907</v>
      </c>
      <c r="D10">
        <f t="shared" si="1"/>
        <v>0.19203222528126981</v>
      </c>
      <c r="E10">
        <f t="shared" si="2"/>
        <v>19.203222528126982</v>
      </c>
    </row>
    <row r="11" spans="1:5" x14ac:dyDescent="0.25">
      <c r="A11">
        <v>4.8200377307640396</v>
      </c>
      <c r="B11">
        <v>-1.8710865561694201</v>
      </c>
      <c r="C11">
        <f t="shared" si="0"/>
        <v>207.4672556228075</v>
      </c>
      <c r="D11">
        <f t="shared" si="1"/>
        <v>0.15395628874611972</v>
      </c>
      <c r="E11">
        <f t="shared" si="2"/>
        <v>15.395628874611972</v>
      </c>
    </row>
    <row r="12" spans="1:5" x14ac:dyDescent="0.25">
      <c r="A12">
        <v>5.0123130305888699</v>
      </c>
      <c r="B12">
        <v>-1.9815837937384799</v>
      </c>
      <c r="C12">
        <f t="shared" si="0"/>
        <v>199.50868868270092</v>
      </c>
      <c r="D12">
        <f t="shared" si="1"/>
        <v>0.13785073719259658</v>
      </c>
      <c r="E12">
        <f t="shared" si="2"/>
        <v>13.785073719259659</v>
      </c>
    </row>
    <row r="13" spans="1:5" x14ac:dyDescent="0.25">
      <c r="A13">
        <v>5.1772166823878099</v>
      </c>
      <c r="B13">
        <v>-2.1289134438305699</v>
      </c>
      <c r="C13">
        <f t="shared" si="0"/>
        <v>193.15397854640014</v>
      </c>
      <c r="D13">
        <f t="shared" si="1"/>
        <v>0.11896648742252815</v>
      </c>
      <c r="E13">
        <f t="shared" si="2"/>
        <v>11.896648742252815</v>
      </c>
    </row>
    <row r="14" spans="1:5" x14ac:dyDescent="0.25">
      <c r="A14">
        <v>5.3421034900956696</v>
      </c>
      <c r="B14">
        <v>-2.2670349907918901</v>
      </c>
      <c r="C14">
        <f t="shared" si="0"/>
        <v>187.19218035629845</v>
      </c>
      <c r="D14">
        <f t="shared" si="1"/>
        <v>0.10361895622064662</v>
      </c>
      <c r="E14">
        <f t="shared" si="2"/>
        <v>10.361895622064662</v>
      </c>
    </row>
    <row r="15" spans="1:5" x14ac:dyDescent="0.25">
      <c r="A15">
        <v>5.4429659075596204</v>
      </c>
      <c r="B15">
        <v>-2.40515653775322</v>
      </c>
      <c r="C15">
        <f t="shared" si="0"/>
        <v>183.72336277379969</v>
      </c>
      <c r="D15">
        <f t="shared" si="1"/>
        <v>9.0251366757786458E-2</v>
      </c>
      <c r="E15">
        <f t="shared" si="2"/>
        <v>9.0251366757786453</v>
      </c>
    </row>
    <row r="16" spans="1:5" x14ac:dyDescent="0.25">
      <c r="A16">
        <v>5.6352075192022602</v>
      </c>
      <c r="B16">
        <v>-2.4972375690607702</v>
      </c>
      <c r="C16">
        <f t="shared" si="0"/>
        <v>177.45575413016263</v>
      </c>
      <c r="D16">
        <f t="shared" si="1"/>
        <v>8.2312066248663524E-2</v>
      </c>
      <c r="E16">
        <f t="shared" si="2"/>
        <v>8.2312066248663527</v>
      </c>
    </row>
    <row r="17" spans="1:5" x14ac:dyDescent="0.25">
      <c r="A17">
        <v>5.8640681848807397</v>
      </c>
      <c r="B17">
        <v>-2.6077348066298298</v>
      </c>
      <c r="C17">
        <f t="shared" si="0"/>
        <v>170.53007715331287</v>
      </c>
      <c r="D17">
        <f t="shared" si="1"/>
        <v>7.3701302523181911E-2</v>
      </c>
      <c r="E17">
        <f t="shared" si="2"/>
        <v>7.3701302523181909</v>
      </c>
    </row>
    <row r="18" spans="1:5" x14ac:dyDescent="0.25">
      <c r="A18">
        <v>5.9739590351704601</v>
      </c>
      <c r="B18">
        <v>-2.6813996316758701</v>
      </c>
      <c r="C18">
        <f t="shared" si="0"/>
        <v>167.39317998545098</v>
      </c>
      <c r="D18">
        <f t="shared" si="1"/>
        <v>6.8467258117146379E-2</v>
      </c>
      <c r="E18">
        <f t="shared" si="2"/>
        <v>6.8467258117146379</v>
      </c>
    </row>
    <row r="19" spans="1:5" x14ac:dyDescent="0.25">
      <c r="A19">
        <v>6.2487030049858499</v>
      </c>
      <c r="B19">
        <v>-2.8747697974217301</v>
      </c>
      <c r="C19">
        <f t="shared" si="0"/>
        <v>160.03320996406748</v>
      </c>
      <c r="D19">
        <f t="shared" si="1"/>
        <v>5.6429128139498505E-2</v>
      </c>
      <c r="E19">
        <f t="shared" si="2"/>
        <v>5.6429128139498506</v>
      </c>
    </row>
    <row r="20" spans="1:5" x14ac:dyDescent="0.25">
      <c r="A20">
        <v>6.4044097830481004</v>
      </c>
      <c r="B20">
        <v>-2.99447513812154</v>
      </c>
      <c r="C20">
        <f t="shared" si="0"/>
        <v>156.14241341128897</v>
      </c>
      <c r="D20">
        <f t="shared" si="1"/>
        <v>5.0062896297921509E-2</v>
      </c>
      <c r="E20">
        <f t="shared" si="2"/>
        <v>5.0062896297921506</v>
      </c>
    </row>
    <row r="21" spans="1:5" x14ac:dyDescent="0.25">
      <c r="A21">
        <v>6.5601502492925396</v>
      </c>
      <c r="B21">
        <v>-3.1325966850828699</v>
      </c>
      <c r="C21">
        <f t="shared" si="0"/>
        <v>152.43553302881168</v>
      </c>
      <c r="D21">
        <f t="shared" si="1"/>
        <v>4.3604423162877409E-2</v>
      </c>
      <c r="E21">
        <f t="shared" si="2"/>
        <v>4.3604423162877408</v>
      </c>
    </row>
    <row r="22" spans="1:5" x14ac:dyDescent="0.25">
      <c r="A22">
        <v>6.7525097695728302</v>
      </c>
      <c r="B22">
        <v>-3.2891344383057</v>
      </c>
      <c r="C22">
        <f t="shared" si="0"/>
        <v>148.09308451593117</v>
      </c>
      <c r="D22">
        <f t="shared" si="1"/>
        <v>3.7286108860482614E-2</v>
      </c>
      <c r="E22">
        <f t="shared" si="2"/>
        <v>3.7286108860482612</v>
      </c>
    </row>
    <row r="23" spans="1:5" x14ac:dyDescent="0.25">
      <c r="A23">
        <v>6.9265429187440999</v>
      </c>
      <c r="B23">
        <v>-3.4272559852670299</v>
      </c>
      <c r="C23">
        <f t="shared" si="0"/>
        <v>144.37216541225402</v>
      </c>
      <c r="D23">
        <f t="shared" si="1"/>
        <v>3.2475933057774319E-2</v>
      </c>
      <c r="E23">
        <f t="shared" si="2"/>
        <v>3.247593305777432</v>
      </c>
    </row>
    <row r="24" spans="1:5" x14ac:dyDescent="0.25">
      <c r="A24">
        <v>7.1189529712976602</v>
      </c>
      <c r="B24">
        <v>-3.6114180478821298</v>
      </c>
      <c r="C24">
        <f t="shared" si="0"/>
        <v>140.47009497489594</v>
      </c>
      <c r="D24">
        <f t="shared" si="1"/>
        <v>2.7013513238077706E-2</v>
      </c>
      <c r="E24">
        <f t="shared" si="2"/>
        <v>2.7013513238077707</v>
      </c>
    </row>
    <row r="25" spans="1:5" x14ac:dyDescent="0.25">
      <c r="A25">
        <v>7.5679659075596204</v>
      </c>
      <c r="B25">
        <v>-4.0718232044198901</v>
      </c>
      <c r="C25">
        <f t="shared" si="0"/>
        <v>132.1359018017117</v>
      </c>
      <c r="D25">
        <f t="shared" si="1"/>
        <v>1.704628130329075E-2</v>
      </c>
      <c r="E25">
        <f t="shared" si="2"/>
        <v>1.7046281303290751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WSe2ECond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2024-04-26T20:08:28Z</dcterms:created>
  <dcterms:modified xsi:type="dcterms:W3CDTF">2024-04-26T20:09:49Z</dcterms:modified>
</cp:coreProperties>
</file>