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AD39A1D9-09D7-BE43-ACEF-D4583E0A3A00}" xr6:coauthVersionLast="47" xr6:coauthVersionMax="47" xr10:uidLastSave="{00000000-0000-0000-0000-000000000000}"/>
  <bookViews>
    <workbookView xWindow="0" yWindow="740" windowWidth="12980" windowHeight="9240" xr2:uid="{00000000-000D-0000-FFFF-FFFF00000000}"/>
  </bookViews>
  <sheets>
    <sheet name="Sheet1" sheetId="2" r:id="rId1"/>
    <sheet name="ZnOEcond (2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E4" i="1" s="1"/>
  <c r="D5" i="1"/>
  <c r="D6" i="1"/>
  <c r="E6" i="1" s="1"/>
  <c r="D7" i="1"/>
  <c r="E7" i="1" s="1"/>
  <c r="D8" i="1"/>
  <c r="E8" i="1" s="1"/>
  <c r="D9" i="1"/>
  <c r="D10" i="1"/>
  <c r="E10" i="1" s="1"/>
  <c r="D11" i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D20" i="1"/>
  <c r="D21" i="1"/>
  <c r="D2" i="1"/>
  <c r="E2" i="1" s="1"/>
  <c r="E5" i="1"/>
  <c r="E9" i="1"/>
  <c r="E3" i="1"/>
  <c r="E11" i="1"/>
  <c r="E19" i="1"/>
  <c r="E20" i="1"/>
  <c r="E2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<sst xmlns="http://schemas.openxmlformats.org/spreadsheetml/2006/main" count="9" uniqueCount="7">
  <si>
    <t>1000/t</t>
  </si>
  <si>
    <t>log sigma S/cm</t>
  </si>
  <si>
    <t>T</t>
  </si>
  <si>
    <t>sigma S/cm</t>
  </si>
  <si>
    <t>S/m</t>
  </si>
  <si>
    <t>https://onlinelibrary.wiley.com/doi/epdf/10.1002/pssa.2210970234</t>
  </si>
  <si>
    <t xml:space="preserve">Fig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</si>
</sst>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4" x14ac:dyDescent="0.2">
      <c r="A1" t="s">
        <v>2</v>
      </c>
      <c r="B1" t="s">
        <v>4</v>
      </c>
    </row>
    <row r="2" spans="1:4" x14ac:dyDescent="0.2">
      <c r="A2">
        <v>481.10838819937828</v>
      </c>
      <c r="B2">
        <v>7.2420935192587556E-3</v>
      </c>
      <c r="D2" t="s">
        <v>5</v>
      </c>
    </row>
    <row r="3" spans="1:4" x14ac:dyDescent="0.2">
      <c r="A3">
        <v>548.80195809000543</v>
      </c>
      <c r="B3">
        <v>1.7112048168485234E-2</v>
      </c>
      <c r="D3" t="s">
        <v>6</v>
      </c>
    </row>
    <row r="4" spans="1:4" x14ac:dyDescent="0.2">
      <c r="A4">
        <v>560.80405097061907</v>
      </c>
      <c r="B4">
        <v>2.0009528630238697E-2</v>
      </c>
    </row>
    <row r="5" spans="1:4" x14ac:dyDescent="0.2">
      <c r="A5">
        <v>584.54403461390041</v>
      </c>
      <c r="B5">
        <v>2.6905102231383596E-2</v>
      </c>
    </row>
    <row r="6" spans="1:4" x14ac:dyDescent="0.2">
      <c r="A6">
        <v>605.22184680151997</v>
      </c>
      <c r="B6">
        <v>3.6385926556752664E-2</v>
      </c>
    </row>
    <row r="7" spans="1:4" x14ac:dyDescent="0.2">
      <c r="A7">
        <v>639.6774710204437</v>
      </c>
      <c r="B7">
        <v>6.3295024831121816E-2</v>
      </c>
    </row>
    <row r="8" spans="1:4" x14ac:dyDescent="0.2">
      <c r="A8">
        <v>675.20947580858262</v>
      </c>
      <c r="B8">
        <v>7.6935192637631253E-2</v>
      </c>
    </row>
    <row r="9" spans="1:4" x14ac:dyDescent="0.2">
      <c r="A9">
        <v>680.23897914920508</v>
      </c>
      <c r="B9">
        <v>0.10586539750539001</v>
      </c>
    </row>
    <row r="10" spans="1:4" x14ac:dyDescent="0.2">
      <c r="A10">
        <v>709.19250660333546</v>
      </c>
      <c r="B10">
        <v>0.11189024097767737</v>
      </c>
    </row>
    <row r="11" spans="1:4" x14ac:dyDescent="0.2">
      <c r="A11">
        <v>756.99063571695604</v>
      </c>
      <c r="B11">
        <v>0.1850678472089522</v>
      </c>
    </row>
    <row r="12" spans="1:4" x14ac:dyDescent="0.2">
      <c r="A12">
        <v>779.95984401413557</v>
      </c>
      <c r="B12">
        <v>0.24754766219346894</v>
      </c>
    </row>
    <row r="13" spans="1:4" x14ac:dyDescent="0.2">
      <c r="A13">
        <v>749.59164103120725</v>
      </c>
      <c r="B13">
        <v>0.36254097658179019</v>
      </c>
    </row>
    <row r="14" spans="1:4" x14ac:dyDescent="0.2">
      <c r="A14">
        <v>790.93370464918644</v>
      </c>
      <c r="B14">
        <v>0.41906015085615272</v>
      </c>
    </row>
    <row r="15" spans="1:4" x14ac:dyDescent="0.2">
      <c r="A15">
        <v>803.25184856969906</v>
      </c>
      <c r="B15">
        <v>0.53011361032300519</v>
      </c>
    </row>
    <row r="16" spans="1:4" x14ac:dyDescent="0.2">
      <c r="A16">
        <v>782.95575676636099</v>
      </c>
      <c r="B16">
        <v>0.65611631702206685</v>
      </c>
    </row>
    <row r="17" spans="1:2" x14ac:dyDescent="0.2">
      <c r="A17">
        <v>864.90894448693098</v>
      </c>
      <c r="B17">
        <v>1.3198352906810242</v>
      </c>
    </row>
    <row r="18" spans="1:2" x14ac:dyDescent="0.2">
      <c r="A18">
        <v>875.4306772335284</v>
      </c>
      <c r="B18">
        <v>1.4596425628436354</v>
      </c>
    </row>
    <row r="19" spans="1:2" x14ac:dyDescent="0.2">
      <c r="A19">
        <v>874.15230037379479</v>
      </c>
      <c r="B19">
        <v>2.1605593916047821</v>
      </c>
    </row>
    <row r="20" spans="1:2" x14ac:dyDescent="0.2">
      <c r="A20">
        <v>946.68266631112658</v>
      </c>
      <c r="B20">
        <v>3.5338302704356583</v>
      </c>
    </row>
    <row r="21" spans="1:2" x14ac:dyDescent="0.2">
      <c r="A21">
        <v>965.77599105295099</v>
      </c>
      <c r="B21">
        <v>3.8860237124523254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1" sqref="E1:E1048576"/>
    </sheetView>
  </sheetViews>
  <sheetFormatPr baseColWidth="10" defaultColWidth="8.83203125" defaultRowHeight="15" x14ac:dyDescent="0.2"/>
  <cols>
    <col min="4" max="4" width="12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2.0785337036892102</v>
      </c>
      <c r="B2">
        <v>-9.5330151402527203</v>
      </c>
      <c r="C2">
        <f t="shared" ref="C2:C21" si="0">1000/A2</f>
        <v>481.10838819937828</v>
      </c>
      <c r="D2">
        <f>EXP(B2)</f>
        <v>7.2420935192587556E-5</v>
      </c>
      <c r="E2">
        <f t="shared" ref="E2:E21" si="1">D2*100</f>
        <v>7.2420935192587556E-3</v>
      </c>
    </row>
    <row r="3" spans="1:5" x14ac:dyDescent="0.2">
      <c r="A3">
        <v>1.82215093306208</v>
      </c>
      <c r="B3">
        <v>-8.6731426782989693</v>
      </c>
      <c r="C3">
        <f t="shared" si="0"/>
        <v>548.80195809000543</v>
      </c>
      <c r="D3">
        <f t="shared" ref="D3:D21" si="2">EXP(B3)</f>
        <v>1.7112048168485233E-4</v>
      </c>
      <c r="E3">
        <f t="shared" si="1"/>
        <v>1.7112048168485234E-2</v>
      </c>
    </row>
    <row r="4" spans="1:5" x14ac:dyDescent="0.2">
      <c r="A4">
        <v>1.7831540237079899</v>
      </c>
      <c r="B4">
        <v>-8.5167168733617604</v>
      </c>
      <c r="C4">
        <f t="shared" si="0"/>
        <v>560.80405097061907</v>
      </c>
      <c r="D4">
        <f t="shared" si="2"/>
        <v>2.0009528630238695E-4</v>
      </c>
      <c r="E4">
        <f t="shared" si="1"/>
        <v>2.0009528630238697E-2</v>
      </c>
    </row>
    <row r="5" spans="1:5" x14ac:dyDescent="0.2">
      <c r="A5">
        <v>1.71073510426039</v>
      </c>
      <c r="B5">
        <v>-8.2206095223191493</v>
      </c>
      <c r="C5">
        <f t="shared" si="0"/>
        <v>584.54403461390041</v>
      </c>
      <c r="D5">
        <f t="shared" si="2"/>
        <v>2.6905102231383597E-4</v>
      </c>
      <c r="E5">
        <f t="shared" si="1"/>
        <v>2.6905102231383596E-2</v>
      </c>
    </row>
    <row r="6" spans="1:5" x14ac:dyDescent="0.2">
      <c r="A6">
        <v>1.65228668674934</v>
      </c>
      <c r="B6">
        <v>-7.9187433981456099</v>
      </c>
      <c r="C6">
        <f t="shared" si="0"/>
        <v>605.22184680151997</v>
      </c>
      <c r="D6">
        <f t="shared" si="2"/>
        <v>3.6385926556752664E-4</v>
      </c>
      <c r="E6">
        <f t="shared" si="1"/>
        <v>3.6385926556752664E-2</v>
      </c>
    </row>
    <row r="7" spans="1:5" x14ac:dyDescent="0.2">
      <c r="A7">
        <v>1.5632878212902399</v>
      </c>
      <c r="B7">
        <v>-7.36511873557372</v>
      </c>
      <c r="C7">
        <f t="shared" si="0"/>
        <v>639.6774710204437</v>
      </c>
      <c r="D7">
        <f t="shared" si="2"/>
        <v>6.3295024831121812E-4</v>
      </c>
      <c r="E7">
        <f t="shared" si="1"/>
        <v>6.3295024831121816E-2</v>
      </c>
    </row>
    <row r="8" spans="1:5" x14ac:dyDescent="0.2">
      <c r="A8">
        <v>1.4810218692539401</v>
      </c>
      <c r="B8">
        <v>-7.1699620515629201</v>
      </c>
      <c r="C8">
        <f t="shared" si="0"/>
        <v>675.20947580858262</v>
      </c>
      <c r="D8">
        <f t="shared" si="2"/>
        <v>7.6935192637631251E-4</v>
      </c>
      <c r="E8">
        <f t="shared" si="1"/>
        <v>7.6935192637631253E-2</v>
      </c>
    </row>
    <row r="9" spans="1:5" x14ac:dyDescent="0.2">
      <c r="A9">
        <v>1.4700715934431301</v>
      </c>
      <c r="B9">
        <v>-6.8507570126364303</v>
      </c>
      <c r="C9">
        <f t="shared" si="0"/>
        <v>680.23897914920508</v>
      </c>
      <c r="D9">
        <f t="shared" si="2"/>
        <v>1.0586539750539001E-3</v>
      </c>
      <c r="E9">
        <f t="shared" si="1"/>
        <v>0.10586539750539001</v>
      </c>
    </row>
    <row r="10" spans="1:5" x14ac:dyDescent="0.2">
      <c r="A10">
        <v>1.4100543797191001</v>
      </c>
      <c r="B10">
        <v>-6.7954070654512702</v>
      </c>
      <c r="C10">
        <f t="shared" si="0"/>
        <v>709.19250660333546</v>
      </c>
      <c r="D10">
        <f t="shared" si="2"/>
        <v>1.1189024097767737E-3</v>
      </c>
      <c r="E10">
        <f t="shared" si="1"/>
        <v>0.11189024097767737</v>
      </c>
    </row>
    <row r="11" spans="1:5" x14ac:dyDescent="0.2">
      <c r="A11">
        <v>1.32102030436993</v>
      </c>
      <c r="B11">
        <v>-6.2922029654551803</v>
      </c>
      <c r="C11">
        <f t="shared" si="0"/>
        <v>756.99063571695604</v>
      </c>
      <c r="D11">
        <f t="shared" si="2"/>
        <v>1.8506784720895219E-3</v>
      </c>
      <c r="E11">
        <f t="shared" si="1"/>
        <v>0.1850678472089522</v>
      </c>
    </row>
    <row r="12" spans="1:5" x14ac:dyDescent="0.2">
      <c r="A12">
        <v>1.2821172880560201</v>
      </c>
      <c r="B12">
        <v>-6.0013223269825096</v>
      </c>
      <c r="C12">
        <f t="shared" si="0"/>
        <v>779.95984401413557</v>
      </c>
      <c r="D12">
        <f t="shared" si="2"/>
        <v>2.4754766219346894E-3</v>
      </c>
      <c r="E12">
        <f t="shared" si="1"/>
        <v>0.24754766219346894</v>
      </c>
    </row>
    <row r="13" spans="1:5" x14ac:dyDescent="0.2">
      <c r="A13">
        <v>1.3340597003247101</v>
      </c>
      <c r="B13">
        <v>-5.6197879582175903</v>
      </c>
      <c r="C13">
        <f t="shared" si="0"/>
        <v>749.59164103120725</v>
      </c>
      <c r="D13">
        <f t="shared" si="2"/>
        <v>3.6254097658179017E-3</v>
      </c>
      <c r="E13">
        <f t="shared" si="1"/>
        <v>0.36254097658179019</v>
      </c>
    </row>
    <row r="14" spans="1:5" x14ac:dyDescent="0.2">
      <c r="A14">
        <v>1.2643284691522201</v>
      </c>
      <c r="B14">
        <v>-5.47491099722233</v>
      </c>
      <c r="C14">
        <f t="shared" si="0"/>
        <v>790.93370464918644</v>
      </c>
      <c r="D14">
        <f t="shared" si="2"/>
        <v>4.1906015085615275E-3</v>
      </c>
      <c r="E14">
        <f t="shared" si="1"/>
        <v>0.41906015085615272</v>
      </c>
    </row>
    <row r="15" spans="1:5" x14ac:dyDescent="0.2">
      <c r="A15">
        <v>1.24493955635538</v>
      </c>
      <c r="B15">
        <v>-5.2398341222956804</v>
      </c>
      <c r="C15">
        <f t="shared" si="0"/>
        <v>803.25184856969906</v>
      </c>
      <c r="D15">
        <f t="shared" si="2"/>
        <v>5.3011361032300518E-3</v>
      </c>
      <c r="E15">
        <f t="shared" si="1"/>
        <v>0.53011361032300519</v>
      </c>
    </row>
    <row r="16" spans="1:5" x14ac:dyDescent="0.2">
      <c r="A16">
        <v>1.2772113767066999</v>
      </c>
      <c r="B16">
        <v>-5.0265873792105102</v>
      </c>
      <c r="C16">
        <f t="shared" si="0"/>
        <v>782.95575676636099</v>
      </c>
      <c r="D16">
        <f t="shared" si="2"/>
        <v>6.5611631702206684E-3</v>
      </c>
      <c r="E16">
        <f t="shared" si="1"/>
        <v>0.65611631702206685</v>
      </c>
    </row>
    <row r="17" spans="1:5" x14ac:dyDescent="0.2">
      <c r="A17">
        <v>1.1561910723367601</v>
      </c>
      <c r="B17">
        <v>-4.3276632369625601</v>
      </c>
      <c r="C17">
        <f t="shared" si="0"/>
        <v>864.90894448693098</v>
      </c>
      <c r="D17">
        <f t="shared" si="2"/>
        <v>1.3198352906810241E-2</v>
      </c>
      <c r="E17">
        <f t="shared" si="1"/>
        <v>1.3198352906810242</v>
      </c>
    </row>
    <row r="18" spans="1:5" x14ac:dyDescent="0.2">
      <c r="A18">
        <v>1.1422949023903599</v>
      </c>
      <c r="B18">
        <v>-4.2269786002112602</v>
      </c>
      <c r="C18">
        <f t="shared" si="0"/>
        <v>875.4306772335284</v>
      </c>
      <c r="D18">
        <f t="shared" si="2"/>
        <v>1.4596425628436353E-2</v>
      </c>
      <c r="E18">
        <f t="shared" si="1"/>
        <v>1.4596425628436354</v>
      </c>
    </row>
    <row r="19" spans="1:5" x14ac:dyDescent="0.2">
      <c r="A19">
        <v>1.14396541606353</v>
      </c>
      <c r="B19">
        <v>-3.8348030202261199</v>
      </c>
      <c r="C19">
        <f t="shared" si="0"/>
        <v>874.15230037379479</v>
      </c>
      <c r="D19">
        <f t="shared" si="2"/>
        <v>2.160559391604782E-2</v>
      </c>
      <c r="E19">
        <f t="shared" si="1"/>
        <v>2.1605593916047821</v>
      </c>
    </row>
    <row r="20" spans="1:5" x14ac:dyDescent="0.2">
      <c r="A20">
        <v>1.056320175267</v>
      </c>
      <c r="B20">
        <v>-3.3427878408512899</v>
      </c>
      <c r="C20">
        <f t="shared" si="0"/>
        <v>946.68266631112658</v>
      </c>
      <c r="D20">
        <f t="shared" si="2"/>
        <v>3.5338302704356582E-2</v>
      </c>
      <c r="E20">
        <f t="shared" si="1"/>
        <v>3.5338302704356583</v>
      </c>
    </row>
    <row r="21" spans="1:5" x14ac:dyDescent="0.2">
      <c r="A21">
        <v>1.03543679824732</v>
      </c>
      <c r="B21">
        <v>-3.2477837330307899</v>
      </c>
      <c r="C21">
        <f t="shared" si="0"/>
        <v>965.77599105295099</v>
      </c>
      <c r="D21">
        <f t="shared" si="2"/>
        <v>3.8860237124523252E-2</v>
      </c>
      <c r="E21">
        <f t="shared" si="1"/>
        <v>3.8860237124523254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ZnOEcond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2024-05-02T21:18:39Z</dcterms:created>
  <dcterms:modified xsi:type="dcterms:W3CDTF">2024-07-02T20:08:13Z</dcterms:modified>
</cp:coreProperties>
</file>