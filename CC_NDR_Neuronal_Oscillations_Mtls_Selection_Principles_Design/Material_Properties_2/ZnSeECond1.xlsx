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13_ncr:1_{988F1138-72E9-7F4A-ABF2-FFC189CBB765}" xr6:coauthVersionLast="47" xr6:coauthVersionMax="47" xr10:uidLastSave="{00000000-0000-0000-0000-000000000000}"/>
  <bookViews>
    <workbookView xWindow="0" yWindow="740" windowWidth="29400" windowHeight="16840" xr2:uid="{635E71F1-1AE7-C747-B0F1-7A164DB08268}"/>
  </bookViews>
  <sheets>
    <sheet name="Sheet1" sheetId="2" r:id="rId1"/>
    <sheet name="ZnSeECond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<sst xmlns="http://schemas.openxmlformats.org/spreadsheetml/2006/main" count="8" uniqueCount="6">
  <si>
    <t>1000/T (K)</t>
  </si>
  <si>
    <t>S/cm</t>
  </si>
  <si>
    <t>T</t>
  </si>
  <si>
    <t>S/m</t>
  </si>
  <si>
    <t>log S/cm</t>
  </si>
  <si>
    <t>8 + log S/cm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</si>
</sst>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ED71D-FAE5-A04C-B168-9E7E20A5A43C}">
  <dimension ref="A1:B18"/>
  <sheetViews>
    <sheetView tabSelected="1" workbookViewId="0">
      <selection activeCell="C6" sqref="C6"/>
    </sheetView>
  </sheetViews>
  <sheetFormatPr baseColWidth="10" defaultRowHeight="16" x14ac:dyDescent="0.2"/>
  <sheetData>
    <row r="1" spans="1:2" x14ac:dyDescent="0.2">
      <c r="A1" t="s">
        <v>2</v>
      </c>
      <c r="B1" t="s">
        <v>3</v>
      </c>
    </row>
    <row r="2" spans="1:2" x14ac:dyDescent="0.2">
      <c r="A2">
        <v>792.44357283761713</v>
      </c>
      <c r="B2">
        <v>14.827823709476808</v>
      </c>
    </row>
    <row r="3" spans="1:2" x14ac:dyDescent="0.2">
      <c r="A3">
        <v>735.19382543327561</v>
      </c>
      <c r="B3">
        <v>10.007253634455713</v>
      </c>
    </row>
    <row r="4" spans="1:2" x14ac:dyDescent="0.2">
      <c r="A4">
        <v>680.78380227910623</v>
      </c>
      <c r="B4">
        <v>7.5982699688563162</v>
      </c>
    </row>
    <row r="5" spans="1:2" x14ac:dyDescent="0.2">
      <c r="A5">
        <v>575.28164749906318</v>
      </c>
      <c r="B5">
        <v>3.7807508140525714</v>
      </c>
    </row>
    <row r="6" spans="1:2" x14ac:dyDescent="0.2">
      <c r="A6">
        <v>558.26800711226508</v>
      </c>
      <c r="B6">
        <v>3.0943822132391352</v>
      </c>
    </row>
    <row r="7" spans="1:2" x14ac:dyDescent="0.2">
      <c r="A7">
        <v>540.58241799349128</v>
      </c>
      <c r="B7">
        <v>2.9036302024436296</v>
      </c>
    </row>
    <row r="8" spans="1:2" x14ac:dyDescent="0.2">
      <c r="A8">
        <v>510.74044725201685</v>
      </c>
      <c r="B8">
        <v>1.5549082621600145</v>
      </c>
    </row>
    <row r="9" spans="1:2" x14ac:dyDescent="0.2">
      <c r="A9">
        <v>483.64828397697477</v>
      </c>
      <c r="B9">
        <v>1.1716950799756043</v>
      </c>
    </row>
    <row r="10" spans="1:2" x14ac:dyDescent="0.2">
      <c r="A10">
        <v>458.4726206498114</v>
      </c>
      <c r="B10">
        <v>0.86309943941380285</v>
      </c>
    </row>
    <row r="11" spans="1:2" x14ac:dyDescent="0.2">
      <c r="A11">
        <v>410.4510131183302</v>
      </c>
      <c r="B11">
        <v>0.34848242806745888</v>
      </c>
    </row>
    <row r="12" spans="1:2" x14ac:dyDescent="0.2">
      <c r="A12">
        <v>361.10396907802965</v>
      </c>
      <c r="B12">
        <v>0.13822056024358825</v>
      </c>
    </row>
    <row r="13" spans="1:2" x14ac:dyDescent="0.2">
      <c r="A13">
        <v>333.86916928808859</v>
      </c>
      <c r="B13">
        <v>9.3820937784210592E-2</v>
      </c>
    </row>
    <row r="14" spans="1:2" x14ac:dyDescent="0.2">
      <c r="A14">
        <v>323.29589408527403</v>
      </c>
      <c r="B14">
        <v>8.7423907939112644E-2</v>
      </c>
    </row>
    <row r="15" spans="1:2" x14ac:dyDescent="0.2">
      <c r="A15">
        <v>312.70524872999965</v>
      </c>
      <c r="B15">
        <v>7.4661626290974101E-2</v>
      </c>
    </row>
    <row r="16" spans="1:2" x14ac:dyDescent="0.2">
      <c r="A16">
        <v>303.41264776491374</v>
      </c>
      <c r="B16">
        <v>7.0635089782015811E-2</v>
      </c>
    </row>
    <row r="17" spans="1:2" x14ac:dyDescent="0.2">
      <c r="A17">
        <v>298.98230743767164</v>
      </c>
      <c r="B17">
        <v>7.8911371530292443E-2</v>
      </c>
    </row>
    <row r="18" spans="1:2" x14ac:dyDescent="0.2">
      <c r="A18">
        <v>296.40700786220071</v>
      </c>
      <c r="B18">
        <v>5.9616451353061609E-2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85C4-A980-EB40-9C76-EE4D78BC7B69}">
  <dimension ref="A1:F18"/>
  <sheetViews>
    <sheetView workbookViewId="0">
      <selection activeCell="D2" sqref="D2"/>
    </sheetView>
  </sheetViews>
  <sheetFormatPr baseColWidth="10" defaultRowHeight="16" x14ac:dyDescent="0.2"/>
  <cols>
    <col min="4" max="4" width="10.83203125" style="1"/>
  </cols>
  <sheetData>
    <row r="1" spans="1:6" x14ac:dyDescent="0.2">
      <c r="A1" t="s">
        <v>0</v>
      </c>
      <c r="B1" t="s">
        <v>5</v>
      </c>
      <c r="C1" t="s">
        <v>4</v>
      </c>
      <c r="D1" s="1" t="s">
        <v>1</v>
      </c>
      <c r="E1" t="s">
        <v>2</v>
      </c>
      <c r="F1" t="s">
        <v>3</v>
      </c>
    </row>
    <row r="2" spans="1:6" x14ac:dyDescent="0.2">
      <c r="A2">
        <v>1.2619195035163899</v>
      </c>
      <c r="B2">
        <v>6.0913352102006399</v>
      </c>
      <c r="C2">
        <f>B2-8</f>
        <v>-1.9086647897993601</v>
      </c>
      <c r="D2" s="1">
        <f>EXP(C2)</f>
        <v>0.14827823709476809</v>
      </c>
      <c r="E2">
        <f>1000/A2</f>
        <v>792.44357283761713</v>
      </c>
      <c r="F2" s="1">
        <f>D2*100</f>
        <v>14.827823709476808</v>
      </c>
    </row>
    <row r="3" spans="1:6" x14ac:dyDescent="0.2">
      <c r="A3">
        <v>1.36018552578385</v>
      </c>
      <c r="B3">
        <v>5.6981400075026096</v>
      </c>
      <c r="C3">
        <f t="shared" ref="C3:C18" si="0">B3-8</f>
        <v>-2.3018599924973904</v>
      </c>
      <c r="D3" s="1">
        <f t="shared" ref="D3:D18" si="1">EXP(C3)</f>
        <v>0.10007253634455714</v>
      </c>
      <c r="E3">
        <f t="shared" ref="E3:E18" si="2">1000/A3</f>
        <v>735.19382543327561</v>
      </c>
      <c r="F3" s="1">
        <f t="shared" ref="F3:F18" si="3">D3*100</f>
        <v>10.007253634455713</v>
      </c>
    </row>
    <row r="4" spans="1:6" x14ac:dyDescent="0.2">
      <c r="A4">
        <v>1.46889511273951</v>
      </c>
      <c r="B4">
        <v>5.4227503997144604</v>
      </c>
      <c r="C4">
        <f t="shared" si="0"/>
        <v>-2.5772496002855396</v>
      </c>
      <c r="D4" s="1">
        <f t="shared" si="1"/>
        <v>7.5982699688563166E-2</v>
      </c>
      <c r="E4">
        <f t="shared" si="2"/>
        <v>680.78380227910623</v>
      </c>
      <c r="F4" s="1">
        <f t="shared" si="3"/>
        <v>7.5982699688563162</v>
      </c>
    </row>
    <row r="5" spans="1:6" x14ac:dyDescent="0.2">
      <c r="A5">
        <v>1.7382789879484699</v>
      </c>
      <c r="B5">
        <v>4.7247524319757002</v>
      </c>
      <c r="C5">
        <f t="shared" si="0"/>
        <v>-3.2752475680242998</v>
      </c>
      <c r="D5" s="1">
        <f t="shared" si="1"/>
        <v>3.7807508140525713E-2</v>
      </c>
      <c r="E5">
        <f t="shared" si="2"/>
        <v>575.28164749906318</v>
      </c>
      <c r="F5" s="1">
        <f t="shared" si="3"/>
        <v>3.7807508140525714</v>
      </c>
    </row>
    <row r="6" spans="1:6" x14ac:dyDescent="0.2">
      <c r="A6">
        <v>1.7912543567965999</v>
      </c>
      <c r="B6">
        <v>4.5244180922238604</v>
      </c>
      <c r="C6">
        <f t="shared" si="0"/>
        <v>-3.4755819077761396</v>
      </c>
      <c r="D6" s="1">
        <f t="shared" si="1"/>
        <v>3.0943822132391354E-2</v>
      </c>
      <c r="E6">
        <f t="shared" si="2"/>
        <v>558.26800711226508</v>
      </c>
      <c r="F6" s="1">
        <f t="shared" si="3"/>
        <v>3.0943822132391352</v>
      </c>
    </row>
    <row r="7" spans="1:6" x14ac:dyDescent="0.2">
      <c r="A7">
        <v>1.84985668552032</v>
      </c>
      <c r="B7">
        <v>4.4607915621096099</v>
      </c>
      <c r="C7">
        <f t="shared" si="0"/>
        <v>-3.5392084378903901</v>
      </c>
      <c r="D7" s="1">
        <f t="shared" si="1"/>
        <v>2.9036302024436297E-2</v>
      </c>
      <c r="E7">
        <f t="shared" si="2"/>
        <v>540.58241799349128</v>
      </c>
      <c r="F7" s="1">
        <f t="shared" si="3"/>
        <v>2.9036302024436296</v>
      </c>
    </row>
    <row r="8" spans="1:6" x14ac:dyDescent="0.2">
      <c r="A8">
        <v>1.95794166171955</v>
      </c>
      <c r="B8">
        <v>3.8362463625073202</v>
      </c>
      <c r="C8">
        <f t="shared" si="0"/>
        <v>-4.1637536374926798</v>
      </c>
      <c r="D8" s="1">
        <f t="shared" si="1"/>
        <v>1.5549082621600145E-2</v>
      </c>
      <c r="E8">
        <f t="shared" si="2"/>
        <v>510.74044725201685</v>
      </c>
      <c r="F8" s="1">
        <f t="shared" si="3"/>
        <v>1.5549082621600145</v>
      </c>
    </row>
    <row r="9" spans="1:6" x14ac:dyDescent="0.2">
      <c r="A9">
        <v>2.0676182116829498</v>
      </c>
      <c r="B9">
        <v>3.5532813006471899</v>
      </c>
      <c r="C9">
        <f t="shared" si="0"/>
        <v>-4.4467186993528101</v>
      </c>
      <c r="D9" s="1">
        <f t="shared" si="1"/>
        <v>1.1716950799756043E-2</v>
      </c>
      <c r="E9">
        <f t="shared" si="2"/>
        <v>483.64828397697477</v>
      </c>
      <c r="F9" s="1">
        <f t="shared" si="3"/>
        <v>1.1716950799756043</v>
      </c>
    </row>
    <row r="10" spans="1:6" x14ac:dyDescent="0.2">
      <c r="A10">
        <v>2.18115532958688</v>
      </c>
      <c r="B10">
        <v>3.2476044447519898</v>
      </c>
      <c r="C10">
        <f t="shared" si="0"/>
        <v>-4.7523955552480102</v>
      </c>
      <c r="D10" s="1">
        <f t="shared" si="1"/>
        <v>8.630994394138029E-3</v>
      </c>
      <c r="E10">
        <f t="shared" si="2"/>
        <v>458.4726206498114</v>
      </c>
      <c r="F10" s="1">
        <f t="shared" si="3"/>
        <v>0.86309943941380285</v>
      </c>
    </row>
    <row r="11" spans="1:6" x14ac:dyDescent="0.2">
      <c r="A11">
        <v>2.4363443335239299</v>
      </c>
      <c r="B11">
        <v>2.34066234234496</v>
      </c>
      <c r="C11">
        <f t="shared" si="0"/>
        <v>-5.6593376576550405</v>
      </c>
      <c r="D11" s="1">
        <f t="shared" si="1"/>
        <v>3.4848242806745887E-3</v>
      </c>
      <c r="E11">
        <f t="shared" si="2"/>
        <v>410.4510131183302</v>
      </c>
      <c r="F11" s="1">
        <f t="shared" si="3"/>
        <v>0.34848242806745888</v>
      </c>
    </row>
    <row r="12" spans="1:6" x14ac:dyDescent="0.2">
      <c r="A12">
        <v>2.76928553998783</v>
      </c>
      <c r="B12">
        <v>1.4159252069592101</v>
      </c>
      <c r="C12">
        <f t="shared" si="0"/>
        <v>-6.5840747930407897</v>
      </c>
      <c r="D12" s="1">
        <f t="shared" si="1"/>
        <v>1.3822056024358825E-3</v>
      </c>
      <c r="E12">
        <f t="shared" si="2"/>
        <v>361.10396907802965</v>
      </c>
      <c r="F12" s="1">
        <f t="shared" si="3"/>
        <v>0.13822056024358825</v>
      </c>
    </row>
    <row r="13" spans="1:6" x14ac:dyDescent="0.2">
      <c r="A13">
        <v>2.9951852162100101</v>
      </c>
      <c r="B13">
        <v>1.0284625834483501</v>
      </c>
      <c r="C13">
        <f t="shared" si="0"/>
        <v>-6.9715374165516497</v>
      </c>
      <c r="D13" s="1">
        <f t="shared" si="1"/>
        <v>9.3820937784210598E-4</v>
      </c>
      <c r="E13">
        <f t="shared" si="2"/>
        <v>333.86916928808859</v>
      </c>
      <c r="F13" s="1">
        <f t="shared" si="3"/>
        <v>9.3820937784210592E-2</v>
      </c>
    </row>
    <row r="14" spans="1:6" x14ac:dyDescent="0.2">
      <c r="A14">
        <v>3.09314166463319</v>
      </c>
      <c r="B14">
        <v>0.95784332649842097</v>
      </c>
      <c r="C14">
        <f t="shared" si="0"/>
        <v>-7.0421566735015793</v>
      </c>
      <c r="D14" s="1">
        <f t="shared" si="1"/>
        <v>8.7423907939112645E-4</v>
      </c>
      <c r="E14">
        <f t="shared" si="2"/>
        <v>323.29589408527403</v>
      </c>
      <c r="F14" s="1">
        <f t="shared" si="3"/>
        <v>8.7423907939112644E-2</v>
      </c>
    </row>
    <row r="15" spans="1:6" x14ac:dyDescent="0.2">
      <c r="A15">
        <v>3.1978996325176299</v>
      </c>
      <c r="B15">
        <v>0.80004079090653801</v>
      </c>
      <c r="C15">
        <f t="shared" si="0"/>
        <v>-7.1999592090934623</v>
      </c>
      <c r="D15" s="1">
        <f t="shared" si="1"/>
        <v>7.4661626290974104E-4</v>
      </c>
      <c r="E15">
        <f t="shared" si="2"/>
        <v>312.70524872999965</v>
      </c>
      <c r="F15" s="1">
        <f t="shared" si="3"/>
        <v>7.4661626290974101E-2</v>
      </c>
    </row>
    <row r="16" spans="1:6" x14ac:dyDescent="0.2">
      <c r="A16">
        <v>3.2958415127599001</v>
      </c>
      <c r="B16">
        <v>0.74460157846239805</v>
      </c>
      <c r="C16">
        <f t="shared" si="0"/>
        <v>-7.2553984215376017</v>
      </c>
      <c r="D16" s="1">
        <f t="shared" si="1"/>
        <v>7.0635089782015807E-4</v>
      </c>
      <c r="E16">
        <f t="shared" si="2"/>
        <v>303.41264776491374</v>
      </c>
      <c r="F16" s="1">
        <f t="shared" si="3"/>
        <v>7.0635089782015811E-2</v>
      </c>
    </row>
    <row r="17" spans="1:6" x14ac:dyDescent="0.2">
      <c r="A17">
        <v>3.34467951823025</v>
      </c>
      <c r="B17">
        <v>0.85539987835568598</v>
      </c>
      <c r="C17">
        <f t="shared" si="0"/>
        <v>-7.1446001216443138</v>
      </c>
      <c r="D17" s="1">
        <f t="shared" si="1"/>
        <v>7.8911371530292445E-4</v>
      </c>
      <c r="E17">
        <f t="shared" si="2"/>
        <v>298.98230743767164</v>
      </c>
      <c r="F17" s="1">
        <f t="shared" si="3"/>
        <v>7.8911371530292443E-2</v>
      </c>
    </row>
    <row r="18" spans="1:6" x14ac:dyDescent="0.2">
      <c r="A18">
        <v>3.37373939709583</v>
      </c>
      <c r="B18">
        <v>0.57500610042575095</v>
      </c>
      <c r="C18">
        <f t="shared" si="0"/>
        <v>-7.4249938995742486</v>
      </c>
      <c r="D18" s="1">
        <f t="shared" si="1"/>
        <v>5.9616451353061608E-4</v>
      </c>
      <c r="E18">
        <f t="shared" si="2"/>
        <v>296.40700786220071</v>
      </c>
      <c r="F18" s="1">
        <f t="shared" si="3"/>
        <v>5.9616451353061609E-2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ZnSeECond1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2024-06-05T18:53:17Z</dcterms:created>
  <dcterms:modified xsi:type="dcterms:W3CDTF">2024-07-02T17:13:41Z</dcterms:modified>
</cp:coreProperties>
</file>