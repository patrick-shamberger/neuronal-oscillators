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7841C97E-5392-45C1-9E7B-51DB6845FA31}" xr6:coauthVersionLast="36" xr6:coauthVersionMax="36" xr10:uidLastSave="{00000000-0000-0000-0000-000000000000}"/>
  <bookViews>
    <workbookView xWindow="0" yWindow="0" windowWidth="28800" windowHeight="14025" xr2:uid="{20176790-98F3-4999-973E-E3BCCCCB16A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2" i="1"/>
  <c r="F3" i="1"/>
  <c r="F2" i="1"/>
</calcChain>
</file>

<file path=xl/sharedStrings.xml><?xml version="1.0" encoding="utf-8"?>
<sst xmlns="http://schemas.openxmlformats.org/spreadsheetml/2006/main" count="7" uniqueCount="5">
  <si>
    <t>T (K)</t>
  </si>
  <si>
    <t>Cp (J/molK)</t>
  </si>
  <si>
    <t>Cth (J/m^3K)</t>
  </si>
  <si>
    <t>Density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</si>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</sst>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C886-CBE5-4E24-A8E7-B16A129C177F}">
  <dimension ref="A1:B52"/>
  <sheetViews>
    <sheetView tabSelected="1" workbookViewId="0">
      <selection activeCell="F29" sqref="F29"/>
    </sheetView>
  </sheetViews>
  <sheetFormatPr defaultRowHeight="15" x14ac:dyDescent="0.25"/>
  <sheetData>
    <row r="1" spans="1:2" ht="15.75" thickBot="1" x14ac:dyDescent="0.3">
      <c r="A1" s="14" t="s">
        <v>0</v>
      </c>
      <c r="B1" t="s">
        <v>2</v>
      </c>
    </row>
    <row r="2" spans="1:2" ht="15.75" thickBot="1" x14ac:dyDescent="0.3">
      <c r="A2" s="6">
        <v>71.209999999999994</v>
      </c>
      <c r="B2">
        <v>727748.12734082399</v>
      </c>
    </row>
    <row r="3" spans="1:2" ht="15.75" thickBot="1" x14ac:dyDescent="0.3">
      <c r="A3" s="7">
        <v>73.510000000000005</v>
      </c>
      <c r="B3">
        <v>735603.34737827722</v>
      </c>
    </row>
    <row r="4" spans="1:2" ht="15.75" thickBot="1" x14ac:dyDescent="0.3">
      <c r="A4" s="6">
        <v>75.64</v>
      </c>
      <c r="B4">
        <v>763223.31460674154</v>
      </c>
    </row>
    <row r="5" spans="1:2" ht="15.75" thickBot="1" x14ac:dyDescent="0.3">
      <c r="A5" s="7">
        <v>79.61</v>
      </c>
      <c r="B5">
        <v>843042.48595505615</v>
      </c>
    </row>
    <row r="6" spans="1:2" ht="15.75" thickBot="1" x14ac:dyDescent="0.3">
      <c r="A6" s="6">
        <v>86.16</v>
      </c>
      <c r="B6">
        <v>912219.10112359549</v>
      </c>
    </row>
    <row r="7" spans="1:2" ht="15.75" thickBot="1" x14ac:dyDescent="0.3">
      <c r="A7" s="7">
        <v>93.53</v>
      </c>
      <c r="B7">
        <v>989504.33052434458</v>
      </c>
    </row>
    <row r="8" spans="1:2" ht="15.75" thickBot="1" x14ac:dyDescent="0.3">
      <c r="A8" s="6">
        <v>95.97</v>
      </c>
      <c r="B8">
        <v>1089088.2490636704</v>
      </c>
    </row>
    <row r="9" spans="1:2" ht="15.75" thickBot="1" x14ac:dyDescent="0.3">
      <c r="A9" s="7">
        <v>98.34</v>
      </c>
      <c r="B9">
        <v>1110373.361423221</v>
      </c>
    </row>
    <row r="10" spans="1:2" ht="15.75" thickBot="1" x14ac:dyDescent="0.3">
      <c r="A10" s="6">
        <v>100.67</v>
      </c>
      <c r="B10">
        <v>1130391.5028089888</v>
      </c>
    </row>
    <row r="11" spans="1:2" ht="15.75" thickBot="1" x14ac:dyDescent="0.3">
      <c r="A11" s="7">
        <v>103.41</v>
      </c>
      <c r="B11">
        <v>1182337.3127340823</v>
      </c>
    </row>
    <row r="12" spans="1:2" ht="15.75" thickBot="1" x14ac:dyDescent="0.3">
      <c r="A12" s="6">
        <v>105.87</v>
      </c>
      <c r="B12">
        <v>1245432.4672284645</v>
      </c>
    </row>
    <row r="13" spans="1:2" ht="15.75" thickBot="1" x14ac:dyDescent="0.3">
      <c r="A13" s="7">
        <v>108.6</v>
      </c>
      <c r="B13">
        <v>1287495.9035580524</v>
      </c>
    </row>
    <row r="14" spans="1:2" ht="15.75" thickBot="1" x14ac:dyDescent="0.3">
      <c r="A14" s="6">
        <v>111.6</v>
      </c>
      <c r="B14">
        <v>1303713.1320224719</v>
      </c>
    </row>
    <row r="15" spans="1:2" ht="15.75" thickBot="1" x14ac:dyDescent="0.3">
      <c r="A15" s="7">
        <v>114.56</v>
      </c>
      <c r="B15">
        <v>1341722.2612359552</v>
      </c>
    </row>
    <row r="16" spans="1:2" ht="15.75" thickBot="1" x14ac:dyDescent="0.3">
      <c r="A16" s="6">
        <v>120.05</v>
      </c>
      <c r="B16">
        <v>1406084.3867041199</v>
      </c>
    </row>
    <row r="17" spans="1:2" ht="15.75" thickBot="1" x14ac:dyDescent="0.3">
      <c r="A17" s="7">
        <v>122.67</v>
      </c>
      <c r="B17">
        <v>1432944.1713483147</v>
      </c>
    </row>
    <row r="18" spans="1:2" ht="15.75" thickBot="1" x14ac:dyDescent="0.3">
      <c r="A18" s="6">
        <v>133</v>
      </c>
      <c r="B18">
        <v>1510989.5833333335</v>
      </c>
    </row>
    <row r="19" spans="1:2" ht="15.75" thickBot="1" x14ac:dyDescent="0.3">
      <c r="A19" s="3">
        <v>135.47</v>
      </c>
      <c r="B19">
        <v>1519858.3801498127</v>
      </c>
    </row>
    <row r="20" spans="1:2" ht="15.75" thickBot="1" x14ac:dyDescent="0.3">
      <c r="A20" s="7">
        <v>137.94</v>
      </c>
      <c r="B20">
        <v>1526446.6292134831</v>
      </c>
    </row>
    <row r="21" spans="1:2" ht="15.75" thickBot="1" x14ac:dyDescent="0.3">
      <c r="A21" s="6">
        <v>140.37</v>
      </c>
      <c r="B21">
        <v>1530500.9363295881</v>
      </c>
    </row>
    <row r="22" spans="1:2" ht="15.75" thickBot="1" x14ac:dyDescent="0.3">
      <c r="A22" s="7">
        <v>142.74</v>
      </c>
      <c r="B22">
        <v>1534555.2434456928</v>
      </c>
    </row>
    <row r="23" spans="1:2" ht="15.75" thickBot="1" x14ac:dyDescent="0.3">
      <c r="A23" s="6">
        <v>145.18</v>
      </c>
      <c r="B23">
        <v>1539369.7331460675</v>
      </c>
    </row>
    <row r="24" spans="1:2" ht="15.75" thickBot="1" x14ac:dyDescent="0.3">
      <c r="A24" s="5">
        <v>147.63999999999999</v>
      </c>
      <c r="B24">
        <v>1544691.0112359552</v>
      </c>
    </row>
    <row r="25" spans="1:2" ht="15.75" thickBot="1" x14ac:dyDescent="0.3">
      <c r="A25" s="3">
        <v>150.03</v>
      </c>
      <c r="B25">
        <v>1551025.8661048689</v>
      </c>
    </row>
    <row r="26" spans="1:2" ht="15.75" thickBot="1" x14ac:dyDescent="0.3">
      <c r="A26" s="4">
        <v>152.41</v>
      </c>
      <c r="B26">
        <v>1559641.2687265917</v>
      </c>
    </row>
    <row r="27" spans="1:2" ht="15.75" thickBot="1" x14ac:dyDescent="0.3">
      <c r="A27" s="6">
        <v>154.76</v>
      </c>
      <c r="B27">
        <v>1568003.2771535581</v>
      </c>
    </row>
    <row r="28" spans="1:2" ht="15.75" thickBot="1" x14ac:dyDescent="0.3">
      <c r="A28" s="5">
        <v>158.12</v>
      </c>
      <c r="B28">
        <v>1583713.7172284645</v>
      </c>
    </row>
    <row r="29" spans="1:2" ht="15.75" thickBot="1" x14ac:dyDescent="0.3">
      <c r="A29" s="2">
        <v>170.86</v>
      </c>
      <c r="B29">
        <v>1612093.8670411985</v>
      </c>
    </row>
    <row r="30" spans="1:2" ht="15.75" thickBot="1" x14ac:dyDescent="0.3">
      <c r="A30" s="7">
        <v>173.22</v>
      </c>
      <c r="B30">
        <v>1615387.9915730339</v>
      </c>
    </row>
    <row r="31" spans="1:2" ht="15.75" thickBot="1" x14ac:dyDescent="0.3">
      <c r="A31" s="6">
        <v>175.68</v>
      </c>
      <c r="B31">
        <v>1620962.663857678</v>
      </c>
    </row>
    <row r="32" spans="1:2" ht="15.75" thickBot="1" x14ac:dyDescent="0.3">
      <c r="A32" s="7">
        <v>178.15</v>
      </c>
      <c r="B32">
        <v>1626537.336142322</v>
      </c>
    </row>
    <row r="33" spans="1:2" ht="15.75" thickBot="1" x14ac:dyDescent="0.3">
      <c r="A33" s="6">
        <v>180.6</v>
      </c>
      <c r="B33">
        <v>1637940.0749063671</v>
      </c>
    </row>
    <row r="34" spans="1:2" ht="15.75" thickBot="1" x14ac:dyDescent="0.3">
      <c r="A34" s="5">
        <v>183.02</v>
      </c>
      <c r="B34">
        <v>1639967.2284644195</v>
      </c>
    </row>
    <row r="35" spans="1:2" ht="15.75" thickBot="1" x14ac:dyDescent="0.3">
      <c r="A35" s="3">
        <v>185.64</v>
      </c>
      <c r="B35">
        <v>1642501.1704119851</v>
      </c>
    </row>
    <row r="36" spans="1:2" ht="15.75" thickBot="1" x14ac:dyDescent="0.3">
      <c r="A36" s="6">
        <v>187.52</v>
      </c>
      <c r="B36">
        <v>1647062.2659176029</v>
      </c>
    </row>
    <row r="37" spans="1:2" ht="15.75" thickBot="1" x14ac:dyDescent="0.3">
      <c r="A37" s="7">
        <v>205.1</v>
      </c>
      <c r="B37">
        <v>1674428.8389513108</v>
      </c>
    </row>
    <row r="38" spans="1:2" ht="15.75" thickBot="1" x14ac:dyDescent="0.3">
      <c r="A38" s="6">
        <v>207.76</v>
      </c>
      <c r="B38">
        <v>1679496.7228464419</v>
      </c>
    </row>
    <row r="39" spans="1:2" ht="15.75" thickBot="1" x14ac:dyDescent="0.3">
      <c r="A39" s="7">
        <v>210.43</v>
      </c>
      <c r="B39">
        <v>1684818.0009363296</v>
      </c>
    </row>
    <row r="40" spans="1:2" ht="15.75" thickBot="1" x14ac:dyDescent="0.3">
      <c r="A40" s="6">
        <v>215.76</v>
      </c>
      <c r="B40">
        <v>1696980.9222846443</v>
      </c>
    </row>
    <row r="41" spans="1:2" ht="15.75" thickBot="1" x14ac:dyDescent="0.3">
      <c r="A41" s="7">
        <v>218.41</v>
      </c>
      <c r="B41">
        <v>1703315.7771535581</v>
      </c>
    </row>
    <row r="42" spans="1:2" ht="15.75" thickBot="1" x14ac:dyDescent="0.3">
      <c r="A42" s="6">
        <v>221.05</v>
      </c>
      <c r="B42">
        <v>1710410.8146067415</v>
      </c>
    </row>
    <row r="43" spans="1:2" ht="15.75" thickBot="1" x14ac:dyDescent="0.3">
      <c r="A43" s="7">
        <v>231.43</v>
      </c>
      <c r="B43">
        <v>1738030.7818352061</v>
      </c>
    </row>
    <row r="44" spans="1:2" ht="15.75" thickBot="1" x14ac:dyDescent="0.3">
      <c r="A44" s="6">
        <v>234</v>
      </c>
      <c r="B44">
        <v>1744365.6367041199</v>
      </c>
    </row>
    <row r="45" spans="1:2" ht="15.75" thickBot="1" x14ac:dyDescent="0.3">
      <c r="A45" s="7">
        <v>236.57</v>
      </c>
      <c r="B45">
        <v>1750953.8857677903</v>
      </c>
    </row>
    <row r="46" spans="1:2" ht="15.75" thickBot="1" x14ac:dyDescent="0.3">
      <c r="A46" s="6">
        <v>244.34</v>
      </c>
      <c r="B46">
        <v>1770972.0271535581</v>
      </c>
    </row>
    <row r="47" spans="1:2" ht="15.75" thickBot="1" x14ac:dyDescent="0.3">
      <c r="A47" s="7">
        <v>254.68</v>
      </c>
      <c r="B47">
        <v>1794284.293071161</v>
      </c>
    </row>
    <row r="48" spans="1:2" ht="15.75" thickBot="1" x14ac:dyDescent="0.3">
      <c r="A48" s="6">
        <v>257.14999999999998</v>
      </c>
      <c r="B48">
        <v>1799098.7827715357</v>
      </c>
    </row>
    <row r="49" spans="1:2" ht="15.75" thickBot="1" x14ac:dyDescent="0.3">
      <c r="A49" s="7">
        <v>262.08999999999997</v>
      </c>
      <c r="B49">
        <v>1807460.7911985018</v>
      </c>
    </row>
    <row r="50" spans="1:2" ht="15.75" thickBot="1" x14ac:dyDescent="0.3">
      <c r="A50" s="6">
        <v>279.73</v>
      </c>
      <c r="B50">
        <v>1821650.8661048689</v>
      </c>
    </row>
    <row r="51" spans="1:2" ht="15.75" thickBot="1" x14ac:dyDescent="0.3">
      <c r="A51" s="7">
        <v>286.12</v>
      </c>
      <c r="B51">
        <v>1827985.7209737827</v>
      </c>
    </row>
    <row r="52" spans="1:2" ht="15.75" thickBot="1" x14ac:dyDescent="0.3">
      <c r="A52" s="6">
        <v>295.16000000000003</v>
      </c>
      <c r="B52">
        <v>1836094.3352059925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6760-1DE2-4013-AD43-8F84323A78C2}">
  <dimension ref="A1:Z52"/>
  <sheetViews>
    <sheetView workbookViewId="0">
      <selection sqref="A1:A1048576"/>
    </sheetView>
  </sheetViews>
  <sheetFormatPr defaultRowHeight="15" x14ac:dyDescent="0.25"/>
  <cols>
    <col min="3" max="3" width="14.85546875" bestFit="1" customWidth="1"/>
    <col min="6" max="6" width="10.28515625" bestFit="1" customWidth="1"/>
  </cols>
  <sheetData>
    <row r="1" spans="1:26" ht="15.75" thickBot="1" x14ac:dyDescent="0.3">
      <c r="A1" s="14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</row>
    <row r="2" spans="1:26" ht="15.75" thickBot="1" x14ac:dyDescent="0.3">
      <c r="A2" s="6">
        <v>71.209999999999994</v>
      </c>
      <c r="B2" s="6">
        <v>28.72</v>
      </c>
      <c r="C2" s="3">
        <f>B2*$F$2/$F$3</f>
        <v>727748.12734082399</v>
      </c>
      <c r="D2" s="2"/>
      <c r="E2" s="6" t="s">
        <v>3</v>
      </c>
      <c r="F2" s="13">
        <f>8.66*10^6</f>
        <v>8660000</v>
      </c>
      <c r="G2" s="2"/>
      <c r="H2" s="2"/>
      <c r="I2" s="3"/>
      <c r="J2" s="2"/>
      <c r="K2" s="2"/>
      <c r="L2" s="2"/>
      <c r="M2" s="2"/>
      <c r="N2" s="6"/>
      <c r="O2" s="13"/>
      <c r="P2" s="3"/>
      <c r="Q2" s="2"/>
      <c r="R2" s="2"/>
      <c r="S2" s="2"/>
      <c r="T2" s="2"/>
      <c r="U2" s="2"/>
      <c r="V2" s="1"/>
      <c r="W2" s="1"/>
      <c r="X2" s="1"/>
      <c r="Y2" s="1"/>
      <c r="Z2" s="15"/>
    </row>
    <row r="3" spans="1:26" ht="15.75" thickBot="1" x14ac:dyDescent="0.3">
      <c r="A3" s="7">
        <v>73.510000000000005</v>
      </c>
      <c r="B3" s="7">
        <v>29.03</v>
      </c>
      <c r="C3" s="3">
        <f t="shared" ref="C3:C52" si="0">B3*$F$2/$F$3</f>
        <v>735603.34737827722</v>
      </c>
      <c r="D3" s="4"/>
      <c r="E3" s="4" t="s">
        <v>4</v>
      </c>
      <c r="F3" s="7">
        <f>341.76</f>
        <v>341.76</v>
      </c>
      <c r="G3" s="12"/>
      <c r="H3" s="4"/>
      <c r="I3" s="4"/>
      <c r="J3" s="7"/>
      <c r="K3" s="12"/>
      <c r="L3" s="4"/>
      <c r="M3" s="7"/>
      <c r="N3" s="12"/>
      <c r="O3" s="4"/>
      <c r="P3" s="5"/>
      <c r="Q3" s="4"/>
      <c r="R3" s="4"/>
      <c r="S3" s="7"/>
      <c r="T3" s="12"/>
      <c r="U3" s="5"/>
      <c r="V3" s="4"/>
      <c r="W3" s="4"/>
      <c r="X3" s="4"/>
      <c r="Y3" s="4"/>
      <c r="Z3" s="4"/>
    </row>
    <row r="4" spans="1:26" ht="15.75" thickBot="1" x14ac:dyDescent="0.3">
      <c r="A4" s="6">
        <v>75.64</v>
      </c>
      <c r="B4" s="6">
        <v>30.12</v>
      </c>
      <c r="C4" s="3">
        <f t="shared" si="0"/>
        <v>763223.31460674154</v>
      </c>
      <c r="D4" s="2"/>
      <c r="E4" s="2"/>
      <c r="F4" s="6"/>
      <c r="G4" s="13"/>
      <c r="H4" s="2"/>
      <c r="I4" s="2"/>
      <c r="J4" s="6"/>
      <c r="K4" s="13"/>
      <c r="L4" s="2"/>
      <c r="M4" s="6"/>
      <c r="N4" s="13"/>
      <c r="O4" s="2"/>
      <c r="P4" s="3"/>
      <c r="Q4" s="2"/>
      <c r="R4" s="2"/>
      <c r="S4" s="6"/>
      <c r="T4" s="13"/>
      <c r="U4" s="3"/>
      <c r="V4" s="2"/>
      <c r="W4" s="2"/>
      <c r="X4" s="2"/>
      <c r="Y4" s="2"/>
      <c r="Z4" s="2"/>
    </row>
    <row r="5" spans="1:26" ht="15.75" thickBot="1" x14ac:dyDescent="0.3">
      <c r="A5" s="7">
        <v>79.61</v>
      </c>
      <c r="B5" s="7">
        <v>33.270000000000003</v>
      </c>
      <c r="C5" s="3">
        <f t="shared" si="0"/>
        <v>843042.48595505615</v>
      </c>
      <c r="D5" s="4"/>
      <c r="E5" s="4"/>
      <c r="F5" s="7"/>
      <c r="G5" s="12"/>
      <c r="H5" s="4"/>
      <c r="I5" s="4"/>
      <c r="J5" s="7"/>
      <c r="K5" s="12"/>
      <c r="L5" s="4"/>
      <c r="M5" s="7"/>
      <c r="N5" s="12"/>
      <c r="O5" s="4"/>
      <c r="P5" s="5"/>
      <c r="Q5" s="4"/>
      <c r="R5" s="4"/>
      <c r="S5" s="7"/>
      <c r="T5" s="12"/>
      <c r="U5" s="5"/>
      <c r="V5" s="4"/>
      <c r="W5" s="4"/>
      <c r="X5" s="4"/>
      <c r="Y5" s="4"/>
      <c r="Z5" s="4"/>
    </row>
    <row r="6" spans="1:26" ht="15.75" thickBot="1" x14ac:dyDescent="0.3">
      <c r="A6" s="6">
        <v>86.16</v>
      </c>
      <c r="B6" s="6">
        <v>36</v>
      </c>
      <c r="C6" s="3">
        <f t="shared" si="0"/>
        <v>912219.10112359549</v>
      </c>
      <c r="D6" s="2"/>
      <c r="E6" s="2"/>
      <c r="F6" s="6"/>
      <c r="G6" s="13"/>
      <c r="H6" s="2"/>
      <c r="I6" s="2"/>
      <c r="J6" s="6"/>
      <c r="K6" s="13"/>
      <c r="L6" s="2"/>
      <c r="M6" s="6"/>
      <c r="N6" s="13"/>
      <c r="O6" s="2"/>
      <c r="P6" s="3"/>
      <c r="Q6" s="2"/>
      <c r="R6" s="2"/>
      <c r="S6" s="6"/>
      <c r="T6" s="13"/>
      <c r="U6" s="3"/>
      <c r="V6" s="2"/>
      <c r="W6" s="2"/>
      <c r="X6" s="2"/>
      <c r="Y6" s="2"/>
      <c r="Z6" s="2"/>
    </row>
    <row r="7" spans="1:26" ht="15.75" thickBot="1" x14ac:dyDescent="0.3">
      <c r="A7" s="7">
        <v>93.53</v>
      </c>
      <c r="B7" s="7">
        <v>39.049999999999997</v>
      </c>
      <c r="C7" s="3">
        <f t="shared" si="0"/>
        <v>989504.33052434458</v>
      </c>
      <c r="D7" s="4"/>
      <c r="E7" s="4"/>
      <c r="F7" s="7"/>
      <c r="G7" s="12"/>
      <c r="H7" s="4"/>
      <c r="I7" s="4"/>
      <c r="J7" s="7"/>
      <c r="K7" s="12"/>
      <c r="L7" s="4"/>
      <c r="M7" s="4"/>
      <c r="N7" s="5"/>
      <c r="O7" s="4"/>
      <c r="P7" s="5"/>
      <c r="Q7" s="4"/>
      <c r="R7" s="4"/>
      <c r="S7" s="7"/>
      <c r="T7" s="12"/>
      <c r="U7" s="5"/>
      <c r="V7" s="4"/>
      <c r="W7" s="4"/>
      <c r="X7" s="4"/>
      <c r="Y7" s="4"/>
      <c r="Z7" s="4"/>
    </row>
    <row r="8" spans="1:26" ht="15.75" thickBot="1" x14ac:dyDescent="0.3">
      <c r="A8" s="6">
        <v>95.97</v>
      </c>
      <c r="B8" s="6">
        <v>42.98</v>
      </c>
      <c r="C8" s="3">
        <f t="shared" si="0"/>
        <v>1089088.2490636704</v>
      </c>
      <c r="D8" s="2"/>
      <c r="E8" s="2"/>
      <c r="F8" s="6"/>
      <c r="G8" s="13"/>
      <c r="H8" s="2"/>
      <c r="I8" s="2"/>
      <c r="J8" s="6"/>
      <c r="K8" s="13"/>
      <c r="L8" s="2"/>
      <c r="M8" s="2"/>
      <c r="N8" s="3"/>
      <c r="O8" s="2"/>
      <c r="P8" s="3"/>
      <c r="Q8" s="2"/>
      <c r="R8" s="2"/>
      <c r="S8" s="6"/>
      <c r="T8" s="13"/>
      <c r="U8" s="3"/>
      <c r="V8" s="2"/>
      <c r="W8" s="2"/>
      <c r="X8" s="2"/>
      <c r="Y8" s="2"/>
      <c r="Z8" s="2"/>
    </row>
    <row r="9" spans="1:26" ht="15.75" thickBot="1" x14ac:dyDescent="0.3">
      <c r="A9" s="7">
        <v>98.34</v>
      </c>
      <c r="B9" s="7">
        <v>43.82</v>
      </c>
      <c r="C9" s="3">
        <f t="shared" si="0"/>
        <v>1110373.361423221</v>
      </c>
      <c r="D9" s="4"/>
      <c r="E9" s="4"/>
      <c r="F9" s="7"/>
      <c r="G9" s="12"/>
      <c r="H9" s="4"/>
      <c r="I9" s="4"/>
      <c r="J9" s="7"/>
      <c r="K9" s="12"/>
      <c r="L9" s="4"/>
      <c r="M9" s="4"/>
      <c r="N9" s="4"/>
      <c r="O9" s="4"/>
      <c r="P9" s="5"/>
      <c r="Q9" s="4"/>
      <c r="R9" s="4"/>
      <c r="S9" s="7"/>
      <c r="T9" s="12"/>
      <c r="U9" s="5"/>
      <c r="V9" s="4"/>
      <c r="W9" s="4"/>
      <c r="X9" s="4"/>
      <c r="Y9" s="4"/>
      <c r="Z9" s="4"/>
    </row>
    <row r="10" spans="1:26" ht="15.75" thickBot="1" x14ac:dyDescent="0.3">
      <c r="A10" s="6">
        <v>100.67</v>
      </c>
      <c r="B10" s="6">
        <v>44.61</v>
      </c>
      <c r="C10" s="3">
        <f t="shared" si="0"/>
        <v>1130391.5028089888</v>
      </c>
      <c r="D10" s="2"/>
      <c r="E10" s="2"/>
      <c r="F10" s="6"/>
      <c r="G10" s="13"/>
      <c r="H10" s="2"/>
      <c r="I10" s="2"/>
      <c r="J10" s="6"/>
      <c r="K10" s="13"/>
      <c r="L10" s="2"/>
      <c r="M10" s="6"/>
      <c r="N10" s="13"/>
      <c r="O10" s="2"/>
      <c r="P10" s="3"/>
      <c r="Q10" s="2"/>
      <c r="R10" s="2"/>
      <c r="S10" s="6"/>
      <c r="T10" s="13"/>
      <c r="U10" s="3"/>
      <c r="V10" s="2"/>
      <c r="W10" s="2"/>
      <c r="X10" s="2"/>
      <c r="Y10" s="2"/>
      <c r="Z10" s="2"/>
    </row>
    <row r="11" spans="1:26" ht="15.75" thickBot="1" x14ac:dyDescent="0.3">
      <c r="A11" s="7">
        <v>103.41</v>
      </c>
      <c r="B11" s="7">
        <v>46.66</v>
      </c>
      <c r="C11" s="3">
        <f t="shared" si="0"/>
        <v>1182337.3127340823</v>
      </c>
      <c r="D11" s="4"/>
      <c r="E11" s="4"/>
      <c r="F11" s="7"/>
      <c r="G11" s="12"/>
      <c r="H11" s="4"/>
      <c r="I11" s="4"/>
      <c r="J11" s="7"/>
      <c r="K11" s="12"/>
      <c r="L11" s="4"/>
      <c r="M11" s="4"/>
      <c r="N11" s="5"/>
      <c r="O11" s="4"/>
      <c r="P11" s="5"/>
      <c r="Q11" s="4"/>
      <c r="R11" s="4"/>
      <c r="S11" s="7"/>
      <c r="T11" s="12"/>
      <c r="U11" s="5"/>
      <c r="V11" s="4"/>
      <c r="W11" s="4"/>
      <c r="X11" s="4"/>
      <c r="Y11" s="4"/>
      <c r="Z11" s="4"/>
    </row>
    <row r="12" spans="1:26" ht="15.75" thickBot="1" x14ac:dyDescent="0.3">
      <c r="A12" s="6">
        <v>105.87</v>
      </c>
      <c r="B12" s="6">
        <v>49.15</v>
      </c>
      <c r="C12" s="3">
        <f t="shared" si="0"/>
        <v>1245432.4672284645</v>
      </c>
      <c r="D12" s="2"/>
      <c r="E12" s="2"/>
      <c r="F12" s="6"/>
      <c r="G12" s="13"/>
      <c r="H12" s="2"/>
      <c r="I12" s="2"/>
      <c r="J12" s="6"/>
      <c r="K12" s="13"/>
      <c r="L12" s="2"/>
      <c r="M12" s="2"/>
      <c r="N12" s="2"/>
      <c r="O12" s="2"/>
      <c r="P12" s="3"/>
      <c r="Q12" s="2"/>
      <c r="R12" s="2"/>
      <c r="S12" s="6"/>
      <c r="T12" s="13"/>
      <c r="U12" s="3"/>
      <c r="V12" s="2"/>
      <c r="W12" s="2"/>
      <c r="X12" s="2"/>
      <c r="Y12" s="2"/>
      <c r="Z12" s="2"/>
    </row>
    <row r="13" spans="1:26" ht="15.75" thickBot="1" x14ac:dyDescent="0.3">
      <c r="A13" s="7">
        <v>108.6</v>
      </c>
      <c r="B13" s="7">
        <v>50.81</v>
      </c>
      <c r="C13" s="3">
        <f t="shared" si="0"/>
        <v>1287495.9035580524</v>
      </c>
      <c r="D13" s="4"/>
      <c r="E13" s="4"/>
      <c r="F13" s="7"/>
      <c r="G13" s="12"/>
      <c r="H13" s="4"/>
      <c r="I13" s="4"/>
      <c r="J13" s="7"/>
      <c r="K13" s="12"/>
      <c r="L13" s="4"/>
      <c r="M13" s="7"/>
      <c r="N13" s="12"/>
      <c r="O13" s="4"/>
      <c r="P13" s="5"/>
      <c r="Q13" s="4"/>
      <c r="R13" s="4"/>
      <c r="S13" s="7"/>
      <c r="T13" s="12"/>
      <c r="U13" s="5"/>
      <c r="V13" s="4"/>
      <c r="W13" s="4"/>
      <c r="X13" s="4"/>
      <c r="Y13" s="4"/>
      <c r="Z13" s="4"/>
    </row>
    <row r="14" spans="1:26" ht="15.75" thickBot="1" x14ac:dyDescent="0.3">
      <c r="A14" s="6">
        <v>111.6</v>
      </c>
      <c r="B14" s="6">
        <v>51.45</v>
      </c>
      <c r="C14" s="3">
        <f t="shared" si="0"/>
        <v>1303713.1320224719</v>
      </c>
      <c r="D14" s="2"/>
      <c r="E14" s="2"/>
      <c r="F14" s="6"/>
      <c r="G14" s="13"/>
      <c r="H14" s="2"/>
      <c r="I14" s="2"/>
      <c r="J14" s="6"/>
      <c r="K14" s="13"/>
      <c r="L14" s="2"/>
      <c r="M14" s="6"/>
      <c r="N14" s="13"/>
      <c r="O14" s="2"/>
      <c r="P14" s="3"/>
      <c r="Q14" s="2"/>
      <c r="R14" s="2"/>
      <c r="S14" s="6"/>
      <c r="T14" s="13"/>
      <c r="U14" s="3"/>
      <c r="V14" s="2"/>
      <c r="W14" s="2"/>
      <c r="X14" s="2"/>
      <c r="Y14" s="2"/>
      <c r="Z14" s="2"/>
    </row>
    <row r="15" spans="1:26" ht="15.75" thickBot="1" x14ac:dyDescent="0.3">
      <c r="A15" s="7">
        <v>114.56</v>
      </c>
      <c r="B15" s="7">
        <v>52.95</v>
      </c>
      <c r="C15" s="3">
        <f t="shared" si="0"/>
        <v>1341722.2612359552</v>
      </c>
      <c r="D15" s="4"/>
      <c r="E15" s="4"/>
      <c r="F15" s="7"/>
      <c r="G15" s="12"/>
      <c r="H15" s="4"/>
      <c r="I15" s="4"/>
      <c r="J15" s="7"/>
      <c r="K15" s="12"/>
      <c r="L15" s="4"/>
      <c r="M15" s="7"/>
      <c r="N15" s="12"/>
      <c r="O15" s="4"/>
      <c r="P15" s="5"/>
      <c r="Q15" s="4"/>
      <c r="R15" s="4"/>
      <c r="S15" s="7"/>
      <c r="T15" s="12"/>
      <c r="U15" s="5"/>
      <c r="V15" s="4"/>
      <c r="W15" s="4"/>
      <c r="X15" s="4"/>
      <c r="Y15" s="4"/>
      <c r="Z15" s="4"/>
    </row>
    <row r="16" spans="1:26" ht="15.75" thickBot="1" x14ac:dyDescent="0.3">
      <c r="A16" s="6">
        <v>120.05</v>
      </c>
      <c r="B16" s="6">
        <v>55.49</v>
      </c>
      <c r="C16" s="3">
        <f t="shared" si="0"/>
        <v>1406084.3867041199</v>
      </c>
      <c r="D16" s="2"/>
      <c r="E16" s="2"/>
      <c r="F16" s="6"/>
      <c r="G16" s="13"/>
      <c r="H16" s="2"/>
      <c r="I16" s="2"/>
      <c r="J16" s="6"/>
      <c r="K16" s="13"/>
      <c r="L16" s="2"/>
      <c r="M16" s="6"/>
      <c r="N16" s="13"/>
      <c r="O16" s="2"/>
      <c r="P16" s="3"/>
      <c r="Q16" s="2"/>
      <c r="R16" s="2"/>
      <c r="S16" s="6"/>
      <c r="T16" s="13"/>
      <c r="U16" s="3"/>
      <c r="V16" s="2"/>
      <c r="W16" s="2"/>
      <c r="X16" s="2"/>
      <c r="Y16" s="2"/>
      <c r="Z16" s="2"/>
    </row>
    <row r="17" spans="1:26" ht="15.75" thickBot="1" x14ac:dyDescent="0.3">
      <c r="A17" s="7">
        <v>122.67</v>
      </c>
      <c r="B17" s="7">
        <v>56.55</v>
      </c>
      <c r="C17" s="3">
        <f t="shared" si="0"/>
        <v>1432944.1713483147</v>
      </c>
      <c r="D17" s="4"/>
      <c r="E17" s="4"/>
      <c r="F17" s="7"/>
      <c r="G17" s="12"/>
      <c r="H17" s="4"/>
      <c r="I17" s="4"/>
      <c r="J17" s="7"/>
      <c r="K17" s="12"/>
      <c r="L17" s="4"/>
      <c r="M17" s="4"/>
      <c r="N17" s="5"/>
      <c r="O17" s="4"/>
      <c r="P17" s="5"/>
      <c r="Q17" s="4"/>
      <c r="R17" s="4"/>
      <c r="S17" s="7"/>
      <c r="T17" s="12"/>
      <c r="U17" s="5"/>
      <c r="V17" s="4"/>
      <c r="W17" s="4"/>
      <c r="X17" s="4"/>
      <c r="Y17" s="4"/>
      <c r="Z17" s="4"/>
    </row>
    <row r="18" spans="1:26" ht="15.75" thickBot="1" x14ac:dyDescent="0.3">
      <c r="A18" s="6">
        <v>133</v>
      </c>
      <c r="B18" s="6">
        <v>59.63</v>
      </c>
      <c r="C18" s="3">
        <f t="shared" si="0"/>
        <v>1510989.5833333335</v>
      </c>
      <c r="D18" s="2"/>
      <c r="E18" s="2"/>
      <c r="F18" s="6"/>
      <c r="G18" s="13"/>
      <c r="H18" s="2"/>
      <c r="I18" s="2"/>
      <c r="J18" s="6"/>
      <c r="K18" s="13"/>
      <c r="L18" s="2"/>
      <c r="M18" s="2"/>
      <c r="N18" s="3"/>
      <c r="O18" s="2"/>
      <c r="P18" s="3"/>
      <c r="Q18" s="2"/>
      <c r="R18" s="2"/>
      <c r="S18" s="6"/>
      <c r="T18" s="13"/>
      <c r="U18" s="3"/>
      <c r="V18" s="10"/>
      <c r="W18" s="10"/>
      <c r="X18" s="10"/>
      <c r="Y18" s="10"/>
      <c r="Z18" s="11"/>
    </row>
    <row r="19" spans="1:26" ht="15.75" thickBot="1" x14ac:dyDescent="0.3">
      <c r="A19" s="3">
        <v>135.47</v>
      </c>
      <c r="B19" s="2">
        <v>59.98</v>
      </c>
      <c r="C19" s="3">
        <f t="shared" si="0"/>
        <v>1519858.3801498127</v>
      </c>
    </row>
    <row r="20" spans="1:26" ht="15.75" thickBot="1" x14ac:dyDescent="0.3">
      <c r="A20" s="7">
        <v>137.94</v>
      </c>
      <c r="B20" s="5">
        <v>60.24</v>
      </c>
      <c r="C20" s="3">
        <f t="shared" si="0"/>
        <v>1526446.6292134831</v>
      </c>
    </row>
    <row r="21" spans="1:26" ht="15.75" thickBot="1" x14ac:dyDescent="0.3">
      <c r="A21" s="6">
        <v>140.37</v>
      </c>
      <c r="B21" s="3">
        <v>60.4</v>
      </c>
      <c r="C21" s="3">
        <f t="shared" si="0"/>
        <v>1530500.9363295881</v>
      </c>
    </row>
    <row r="22" spans="1:26" ht="15.75" thickBot="1" x14ac:dyDescent="0.3">
      <c r="A22" s="7">
        <v>142.74</v>
      </c>
      <c r="B22" s="5">
        <v>60.56</v>
      </c>
      <c r="C22" s="3">
        <f t="shared" si="0"/>
        <v>1534555.2434456928</v>
      </c>
    </row>
    <row r="23" spans="1:26" ht="15.75" thickBot="1" x14ac:dyDescent="0.3">
      <c r="A23" s="6">
        <v>145.18</v>
      </c>
      <c r="B23" s="3">
        <v>60.75</v>
      </c>
      <c r="C23" s="3">
        <f t="shared" si="0"/>
        <v>1539369.7331460675</v>
      </c>
    </row>
    <row r="24" spans="1:26" ht="15.75" thickBot="1" x14ac:dyDescent="0.3">
      <c r="A24" s="5">
        <v>147.63999999999999</v>
      </c>
      <c r="B24" s="5">
        <v>60.96</v>
      </c>
      <c r="C24" s="3">
        <f t="shared" si="0"/>
        <v>1544691.0112359552</v>
      </c>
    </row>
    <row r="25" spans="1:26" ht="15.75" thickBot="1" x14ac:dyDescent="0.3">
      <c r="A25" s="3">
        <v>150.03</v>
      </c>
      <c r="B25" s="3">
        <v>61.21</v>
      </c>
      <c r="C25" s="3">
        <f t="shared" si="0"/>
        <v>1551025.8661048689</v>
      </c>
    </row>
    <row r="26" spans="1:26" ht="15.75" thickBot="1" x14ac:dyDescent="0.3">
      <c r="A26" s="4">
        <v>152.41</v>
      </c>
      <c r="B26" s="5">
        <v>61.55</v>
      </c>
      <c r="C26" s="3">
        <f t="shared" si="0"/>
        <v>1559641.2687265917</v>
      </c>
    </row>
    <row r="27" spans="1:26" ht="15.75" thickBot="1" x14ac:dyDescent="0.3">
      <c r="A27" s="6">
        <v>154.76</v>
      </c>
      <c r="B27" s="3">
        <v>61.88</v>
      </c>
      <c r="C27" s="3">
        <f t="shared" si="0"/>
        <v>1568003.2771535581</v>
      </c>
    </row>
    <row r="28" spans="1:26" ht="15.75" thickBot="1" x14ac:dyDescent="0.3">
      <c r="A28" s="5">
        <v>158.12</v>
      </c>
      <c r="B28" s="5">
        <v>62.5</v>
      </c>
      <c r="C28" s="3">
        <f t="shared" si="0"/>
        <v>1583713.7172284645</v>
      </c>
    </row>
    <row r="29" spans="1:26" ht="15.75" thickBot="1" x14ac:dyDescent="0.3">
      <c r="A29" s="2">
        <v>170.86</v>
      </c>
      <c r="B29" s="3">
        <v>63.62</v>
      </c>
      <c r="C29" s="3">
        <f t="shared" si="0"/>
        <v>1612093.8670411985</v>
      </c>
    </row>
    <row r="30" spans="1:26" ht="15.75" thickBot="1" x14ac:dyDescent="0.3">
      <c r="A30" s="7">
        <v>173.22</v>
      </c>
      <c r="B30" s="5">
        <v>63.75</v>
      </c>
      <c r="C30" s="3">
        <f t="shared" si="0"/>
        <v>1615387.9915730339</v>
      </c>
    </row>
    <row r="31" spans="1:26" ht="15.75" thickBot="1" x14ac:dyDescent="0.3">
      <c r="A31" s="6">
        <v>175.68</v>
      </c>
      <c r="B31" s="3">
        <v>63.97</v>
      </c>
      <c r="C31" s="3">
        <f t="shared" si="0"/>
        <v>1620962.663857678</v>
      </c>
    </row>
    <row r="32" spans="1:26" ht="15.75" thickBot="1" x14ac:dyDescent="0.3">
      <c r="A32" s="7">
        <v>178.15</v>
      </c>
      <c r="B32" s="5">
        <v>64.19</v>
      </c>
      <c r="C32" s="3">
        <f t="shared" si="0"/>
        <v>1626537.336142322</v>
      </c>
    </row>
    <row r="33" spans="1:3" ht="15.75" thickBot="1" x14ac:dyDescent="0.3">
      <c r="A33" s="6">
        <v>180.6</v>
      </c>
      <c r="B33" s="3">
        <v>64.64</v>
      </c>
      <c r="C33" s="3">
        <f t="shared" si="0"/>
        <v>1637940.0749063671</v>
      </c>
    </row>
    <row r="34" spans="1:3" ht="15.75" thickBot="1" x14ac:dyDescent="0.3">
      <c r="A34" s="5">
        <v>183.02</v>
      </c>
      <c r="B34" s="5">
        <v>64.72</v>
      </c>
      <c r="C34" s="3">
        <f t="shared" si="0"/>
        <v>1639967.2284644195</v>
      </c>
    </row>
    <row r="35" spans="1:3" ht="15.75" thickBot="1" x14ac:dyDescent="0.3">
      <c r="A35" s="3">
        <v>185.64</v>
      </c>
      <c r="B35" s="3">
        <v>64.819999999999993</v>
      </c>
      <c r="C35" s="3">
        <f t="shared" si="0"/>
        <v>1642501.1704119851</v>
      </c>
    </row>
    <row r="36" spans="1:3" ht="15.75" thickBot="1" x14ac:dyDescent="0.3">
      <c r="A36" s="6">
        <v>187.52</v>
      </c>
      <c r="B36" s="3">
        <v>65</v>
      </c>
      <c r="C36" s="3">
        <f t="shared" si="0"/>
        <v>1647062.2659176029</v>
      </c>
    </row>
    <row r="37" spans="1:3" ht="15.75" thickBot="1" x14ac:dyDescent="0.3">
      <c r="A37" s="7">
        <v>205.1</v>
      </c>
      <c r="B37" s="5">
        <v>66.08</v>
      </c>
      <c r="C37" s="3">
        <f t="shared" si="0"/>
        <v>1674428.8389513108</v>
      </c>
    </row>
    <row r="38" spans="1:3" ht="15.75" thickBot="1" x14ac:dyDescent="0.3">
      <c r="A38" s="6">
        <v>207.76</v>
      </c>
      <c r="B38" s="3">
        <v>66.28</v>
      </c>
      <c r="C38" s="3">
        <f t="shared" si="0"/>
        <v>1679496.7228464419</v>
      </c>
    </row>
    <row r="39" spans="1:3" ht="15.75" thickBot="1" x14ac:dyDescent="0.3">
      <c r="A39" s="7">
        <v>210.43</v>
      </c>
      <c r="B39" s="5">
        <v>66.489999999999995</v>
      </c>
      <c r="C39" s="3">
        <f t="shared" si="0"/>
        <v>1684818.0009363296</v>
      </c>
    </row>
    <row r="40" spans="1:3" ht="15.75" thickBot="1" x14ac:dyDescent="0.3">
      <c r="A40" s="6">
        <v>215.76</v>
      </c>
      <c r="B40" s="3">
        <v>66.97</v>
      </c>
      <c r="C40" s="3">
        <f t="shared" si="0"/>
        <v>1696980.9222846443</v>
      </c>
    </row>
    <row r="41" spans="1:3" ht="15.75" thickBot="1" x14ac:dyDescent="0.3">
      <c r="A41" s="7">
        <v>218.41</v>
      </c>
      <c r="B41" s="5">
        <v>67.22</v>
      </c>
      <c r="C41" s="3">
        <f t="shared" si="0"/>
        <v>1703315.7771535581</v>
      </c>
    </row>
    <row r="42" spans="1:3" ht="15.75" thickBot="1" x14ac:dyDescent="0.3">
      <c r="A42" s="6">
        <v>221.05</v>
      </c>
      <c r="B42" s="3">
        <v>67.5</v>
      </c>
      <c r="C42" s="3">
        <f t="shared" si="0"/>
        <v>1710410.8146067415</v>
      </c>
    </row>
    <row r="43" spans="1:3" ht="15.75" thickBot="1" x14ac:dyDescent="0.3">
      <c r="A43" s="7">
        <v>231.43</v>
      </c>
      <c r="B43" s="5">
        <v>68.59</v>
      </c>
      <c r="C43" s="3">
        <f t="shared" si="0"/>
        <v>1738030.7818352061</v>
      </c>
    </row>
    <row r="44" spans="1:3" ht="15.75" thickBot="1" x14ac:dyDescent="0.3">
      <c r="A44" s="6">
        <v>234</v>
      </c>
      <c r="B44" s="3">
        <v>68.84</v>
      </c>
      <c r="C44" s="3">
        <f t="shared" si="0"/>
        <v>1744365.6367041199</v>
      </c>
    </row>
    <row r="45" spans="1:3" ht="15.75" thickBot="1" x14ac:dyDescent="0.3">
      <c r="A45" s="7">
        <v>236.57</v>
      </c>
      <c r="B45" s="5">
        <v>69.099999999999994</v>
      </c>
      <c r="C45" s="3">
        <f t="shared" si="0"/>
        <v>1750953.8857677903</v>
      </c>
    </row>
    <row r="46" spans="1:3" ht="15.75" thickBot="1" x14ac:dyDescent="0.3">
      <c r="A46" s="6">
        <v>244.34</v>
      </c>
      <c r="B46" s="3">
        <v>69.89</v>
      </c>
      <c r="C46" s="3">
        <f t="shared" si="0"/>
        <v>1770972.0271535581</v>
      </c>
    </row>
    <row r="47" spans="1:3" ht="15.75" thickBot="1" x14ac:dyDescent="0.3">
      <c r="A47" s="7">
        <v>254.68</v>
      </c>
      <c r="B47" s="5">
        <v>70.81</v>
      </c>
      <c r="C47" s="3">
        <f t="shared" si="0"/>
        <v>1794284.293071161</v>
      </c>
    </row>
    <row r="48" spans="1:3" ht="15.75" thickBot="1" x14ac:dyDescent="0.3">
      <c r="A48" s="6">
        <v>257.14999999999998</v>
      </c>
      <c r="B48" s="3">
        <v>71</v>
      </c>
      <c r="C48" s="3">
        <f t="shared" si="0"/>
        <v>1799098.7827715357</v>
      </c>
    </row>
    <row r="49" spans="1:3" ht="15.75" thickBot="1" x14ac:dyDescent="0.3">
      <c r="A49" s="7">
        <v>262.08999999999997</v>
      </c>
      <c r="B49" s="5">
        <v>71.33</v>
      </c>
      <c r="C49" s="3">
        <f t="shared" si="0"/>
        <v>1807460.7911985018</v>
      </c>
    </row>
    <row r="50" spans="1:3" ht="15.75" thickBot="1" x14ac:dyDescent="0.3">
      <c r="A50" s="6">
        <v>279.73</v>
      </c>
      <c r="B50" s="3">
        <v>71.89</v>
      </c>
      <c r="C50" s="3">
        <f t="shared" si="0"/>
        <v>1821650.8661048689</v>
      </c>
    </row>
    <row r="51" spans="1:3" ht="15.75" thickBot="1" x14ac:dyDescent="0.3">
      <c r="A51" s="7">
        <v>286.12</v>
      </c>
      <c r="B51" s="5">
        <v>72.14</v>
      </c>
      <c r="C51" s="3">
        <f t="shared" si="0"/>
        <v>1827985.7209737827</v>
      </c>
    </row>
    <row r="52" spans="1:3" ht="15.75" thickBot="1" x14ac:dyDescent="0.3">
      <c r="A52" s="6">
        <v>295.16000000000003</v>
      </c>
      <c r="B52" s="3">
        <v>72.459999999999994</v>
      </c>
      <c r="C52" s="3">
        <f t="shared" si="0"/>
        <v>1836094.3352059925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2024-05-09T16:22:34Z</dcterms:created>
  <dcterms:modified xsi:type="dcterms:W3CDTF">2024-05-09T16:28:53Z</dcterms:modified>
</cp:coreProperties>
</file>