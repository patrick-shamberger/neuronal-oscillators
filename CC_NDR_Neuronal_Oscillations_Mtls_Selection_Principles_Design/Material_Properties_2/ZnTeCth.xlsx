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683CEE27-DC83-D541-9E28-331D286C59A0}" xr6:coauthVersionLast="47" xr6:coauthVersionMax="47" xr10:uidLastSave="{00000000-0000-0000-0000-000000000000}"/>
  <bookViews>
    <workbookView xWindow="33700" yWindow="4140" windowWidth="23020" windowHeight="11980" xr2:uid="{00000000-000D-0000-FFFF-FFFF00000000}"/>
  </bookViews>
  <sheets>
    <sheet name="Sheet1" sheetId="2" r:id="rId1"/>
    <sheet name="ZnSeCt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1" s="1"/>
  <c r="C10" i="1" l="1"/>
  <c r="C9" i="1"/>
  <c r="C8" i="1"/>
  <c r="C7" i="1"/>
  <c r="C6" i="1"/>
  <c r="C18" i="1"/>
  <c r="C2" i="1"/>
  <c r="C17" i="1"/>
  <c r="C24" i="1"/>
  <c r="C16" i="1"/>
  <c r="C23" i="1"/>
  <c r="C15" i="1"/>
  <c r="C22" i="1"/>
  <c r="C14" i="1"/>
  <c r="C21" i="1"/>
  <c r="C13" i="1"/>
  <c r="C5" i="1"/>
  <c r="C20" i="1"/>
  <c r="C12" i="1"/>
  <c r="C4" i="1"/>
  <c r="C19" i="1"/>
  <c r="C11" i="1"/>
</calcChain>
</file>

<file path=xl/sharedStrings.xml><?xml version="1.0" encoding="utf-8"?>
<sst xmlns="http://schemas.openxmlformats.org/spreadsheetml/2006/main" count="7" uniqueCount="5">
  <si>
    <t>T(K)</t>
  </si>
  <si>
    <t>Cp (J/mol K)</t>
  </si>
  <si>
    <t>density</t>
  </si>
  <si>
    <t>mass</t>
  </si>
  <si>
    <t xml:space="preserve">Cth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</si>
</sst>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4</v>
      </c>
    </row>
    <row r="2" spans="1:2" x14ac:dyDescent="0.2">
      <c r="A2">
        <v>5.2036199095022599</v>
      </c>
      <c r="B2">
        <v>156223.35717579871</v>
      </c>
    </row>
    <row r="3" spans="1:2" x14ac:dyDescent="0.2">
      <c r="A3">
        <v>15.3846153846153</v>
      </c>
      <c r="B3">
        <v>327999.70176402177</v>
      </c>
    </row>
    <row r="4" spans="1:2" x14ac:dyDescent="0.2">
      <c r="A4">
        <v>22.171945701357501</v>
      </c>
      <c r="B4">
        <v>427671.59060828271</v>
      </c>
    </row>
    <row r="5" spans="1:2" x14ac:dyDescent="0.2">
      <c r="A5">
        <v>30.316742081447899</v>
      </c>
      <c r="B5">
        <v>554875.34931943705</v>
      </c>
    </row>
    <row r="6" spans="1:2" x14ac:dyDescent="0.2">
      <c r="A6">
        <v>38.122171945701297</v>
      </c>
      <c r="B6">
        <v>663734.40679527738</v>
      </c>
    </row>
    <row r="7" spans="1:2" x14ac:dyDescent="0.2">
      <c r="A7">
        <v>47.963800904977298</v>
      </c>
      <c r="B7">
        <v>797517.36368775298</v>
      </c>
    </row>
    <row r="8" spans="1:2" x14ac:dyDescent="0.2">
      <c r="A8">
        <v>59.502262443438902</v>
      </c>
      <c r="B8">
        <v>939189.43119224545</v>
      </c>
    </row>
    <row r="9" spans="1:2" x14ac:dyDescent="0.2">
      <c r="A9">
        <v>71.380090497737498</v>
      </c>
      <c r="B9">
        <v>1055979.0897190878</v>
      </c>
    </row>
    <row r="10" spans="1:2" x14ac:dyDescent="0.2">
      <c r="A10">
        <v>85.972850678732996</v>
      </c>
      <c r="B10">
        <v>1172816.1658904799</v>
      </c>
    </row>
    <row r="11" spans="1:2" x14ac:dyDescent="0.2">
      <c r="A11">
        <v>100.904977375565</v>
      </c>
      <c r="B11">
        <v>1259531.1833614316</v>
      </c>
    </row>
    <row r="12" spans="1:2" x14ac:dyDescent="0.2">
      <c r="A12">
        <v>120.588235294117</v>
      </c>
      <c r="B12">
        <v>1354188.6562945249</v>
      </c>
    </row>
    <row r="13" spans="1:2" x14ac:dyDescent="0.2">
      <c r="A13">
        <v>151.80995475113099</v>
      </c>
      <c r="B13">
        <v>1446427.8293555633</v>
      </c>
    </row>
    <row r="14" spans="1:2" x14ac:dyDescent="0.2">
      <c r="A14">
        <v>187.782805429864</v>
      </c>
      <c r="B14">
        <v>1516481.471972734</v>
      </c>
    </row>
    <row r="15" spans="1:2" x14ac:dyDescent="0.2">
      <c r="A15">
        <v>209.162895927601</v>
      </c>
      <c r="B15">
        <v>1543053.1345374829</v>
      </c>
    </row>
    <row r="16" spans="1:2" x14ac:dyDescent="0.2">
      <c r="A16">
        <v>237.33031674208101</v>
      </c>
      <c r="B16">
        <v>1574982.9909363918</v>
      </c>
    </row>
    <row r="17" spans="1:2" x14ac:dyDescent="0.2">
      <c r="A17">
        <v>263.80090497737501</v>
      </c>
      <c r="B17">
        <v>1597713.8242925876</v>
      </c>
    </row>
    <row r="18" spans="1:2" x14ac:dyDescent="0.2">
      <c r="A18">
        <v>290.610859728506</v>
      </c>
      <c r="B18">
        <v>1619140.6724236528</v>
      </c>
    </row>
    <row r="19" spans="1:2" x14ac:dyDescent="0.2">
      <c r="A19">
        <v>317.42081447963801</v>
      </c>
      <c r="B19">
        <v>1630088.2211091504</v>
      </c>
    </row>
    <row r="20" spans="1:2" x14ac:dyDescent="0.2">
      <c r="A20">
        <v>360.85972850678701</v>
      </c>
      <c r="B20">
        <v>1659664.976897262</v>
      </c>
    </row>
    <row r="21" spans="1:2" x14ac:dyDescent="0.2">
      <c r="A21">
        <v>413.12217194570098</v>
      </c>
      <c r="B21">
        <v>1672366.9784311135</v>
      </c>
    </row>
    <row r="22" spans="1:2" x14ac:dyDescent="0.2">
      <c r="A22">
        <v>466.402714932126</v>
      </c>
      <c r="B22">
        <v>1703425.5356114155</v>
      </c>
    </row>
    <row r="23" spans="1:2" x14ac:dyDescent="0.2">
      <c r="A23">
        <v>519.68325791855102</v>
      </c>
      <c r="B23">
        <v>1709595.7566084957</v>
      </c>
    </row>
    <row r="24" spans="1:2" x14ac:dyDescent="0.2">
      <c r="A24">
        <v>626.92307692307702</v>
      </c>
      <c r="B24">
        <v>1742906.6519049236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4</v>
      </c>
    </row>
    <row r="2" spans="1:6" x14ac:dyDescent="0.2">
      <c r="A2">
        <v>5.2036199095022599</v>
      </c>
      <c r="B2">
        <v>4.7704977375565498</v>
      </c>
      <c r="C2">
        <f>B2*$F$2/$F$3</f>
        <v>156223.35717579871</v>
      </c>
      <c r="E2" t="s">
        <v>2</v>
      </c>
      <c r="F2">
        <f>6.32*10^6</f>
        <v>6320000</v>
      </c>
    </row>
    <row r="3" spans="1:6" x14ac:dyDescent="0.2">
      <c r="A3">
        <v>15.3846153846153</v>
      </c>
      <c r="B3">
        <v>10.015927601809899</v>
      </c>
      <c r="C3">
        <f t="shared" ref="C3:C24" si="0">B3*$F$2/$F$3</f>
        <v>327999.70176402177</v>
      </c>
      <c r="E3" t="s">
        <v>3</v>
      </c>
      <c r="F3">
        <v>192.99</v>
      </c>
    </row>
    <row r="4" spans="1:6" x14ac:dyDescent="0.2">
      <c r="A4">
        <v>22.171945701357501</v>
      </c>
      <c r="B4">
        <v>13.0595475113121</v>
      </c>
      <c r="C4">
        <f t="shared" si="0"/>
        <v>427671.59060828271</v>
      </c>
    </row>
    <row r="5" spans="1:6" x14ac:dyDescent="0.2">
      <c r="A5">
        <v>30.316742081447899</v>
      </c>
      <c r="B5">
        <v>16.9438914027149</v>
      </c>
      <c r="C5">
        <f t="shared" si="0"/>
        <v>554875.34931943705</v>
      </c>
    </row>
    <row r="6" spans="1:6" x14ac:dyDescent="0.2">
      <c r="A6">
        <v>38.122171945701297</v>
      </c>
      <c r="B6">
        <v>20.2680542986425</v>
      </c>
      <c r="C6">
        <f t="shared" si="0"/>
        <v>663734.40679527738</v>
      </c>
    </row>
    <row r="7" spans="1:6" x14ac:dyDescent="0.2">
      <c r="A7">
        <v>47.963800904977298</v>
      </c>
      <c r="B7">
        <v>24.353303167420801</v>
      </c>
      <c r="C7">
        <f t="shared" si="0"/>
        <v>797517.36368775298</v>
      </c>
    </row>
    <row r="8" spans="1:6" x14ac:dyDescent="0.2">
      <c r="A8">
        <v>59.502262443438902</v>
      </c>
      <c r="B8">
        <v>28.679457013574599</v>
      </c>
      <c r="C8">
        <f t="shared" si="0"/>
        <v>939189.43119224545</v>
      </c>
    </row>
    <row r="9" spans="1:6" x14ac:dyDescent="0.2">
      <c r="A9">
        <v>71.380090497737498</v>
      </c>
      <c r="B9">
        <v>32.245791855203599</v>
      </c>
      <c r="C9">
        <f t="shared" si="0"/>
        <v>1055979.0897190878</v>
      </c>
    </row>
    <row r="10" spans="1:6" x14ac:dyDescent="0.2">
      <c r="A10">
        <v>85.972850678732996</v>
      </c>
      <c r="B10">
        <v>35.813574660633499</v>
      </c>
      <c r="C10">
        <f t="shared" si="0"/>
        <v>1172816.1658904799</v>
      </c>
    </row>
    <row r="11" spans="1:6" x14ac:dyDescent="0.2">
      <c r="A11">
        <v>100.904977375565</v>
      </c>
      <c r="B11">
        <v>38.461538461538403</v>
      </c>
      <c r="C11">
        <f t="shared" si="0"/>
        <v>1259531.1833614316</v>
      </c>
    </row>
    <row r="12" spans="1:6" x14ac:dyDescent="0.2">
      <c r="A12">
        <v>120.588235294117</v>
      </c>
      <c r="B12">
        <v>41.352036199094997</v>
      </c>
      <c r="C12">
        <f t="shared" si="0"/>
        <v>1354188.6562945249</v>
      </c>
    </row>
    <row r="13" spans="1:6" x14ac:dyDescent="0.2">
      <c r="A13">
        <v>151.80995475113099</v>
      </c>
      <c r="B13">
        <v>44.168687782805399</v>
      </c>
      <c r="C13">
        <f t="shared" si="0"/>
        <v>1446427.8293555633</v>
      </c>
    </row>
    <row r="14" spans="1:6" x14ac:dyDescent="0.2">
      <c r="A14">
        <v>187.782805429864</v>
      </c>
      <c r="B14">
        <v>46.307873303167398</v>
      </c>
      <c r="C14">
        <f t="shared" si="0"/>
        <v>1516481.471972734</v>
      </c>
    </row>
    <row r="15" spans="1:6" x14ac:dyDescent="0.2">
      <c r="A15">
        <v>209.162895927601</v>
      </c>
      <c r="B15">
        <v>47.119276018099498</v>
      </c>
      <c r="C15">
        <f t="shared" si="0"/>
        <v>1543053.1345374829</v>
      </c>
    </row>
    <row r="16" spans="1:6" x14ac:dyDescent="0.2">
      <c r="A16">
        <v>237.33031674208101</v>
      </c>
      <c r="B16">
        <v>48.0942986425339</v>
      </c>
      <c r="C16">
        <f t="shared" si="0"/>
        <v>1574982.9909363918</v>
      </c>
    </row>
    <row r="17" spans="1:3" x14ac:dyDescent="0.2">
      <c r="A17">
        <v>263.80090497737501</v>
      </c>
      <c r="B17">
        <v>48.788416289592803</v>
      </c>
      <c r="C17">
        <f t="shared" si="0"/>
        <v>1597713.8242925876</v>
      </c>
    </row>
    <row r="18" spans="1:3" x14ac:dyDescent="0.2">
      <c r="A18">
        <v>290.610859728506</v>
      </c>
      <c r="B18">
        <v>49.442714932126698</v>
      </c>
      <c r="C18">
        <f t="shared" si="0"/>
        <v>1619140.6724236528</v>
      </c>
    </row>
    <row r="19" spans="1:3" x14ac:dyDescent="0.2">
      <c r="A19">
        <v>317.42081447963801</v>
      </c>
      <c r="B19">
        <v>49.7770135746606</v>
      </c>
      <c r="C19">
        <f t="shared" si="0"/>
        <v>1630088.2211091504</v>
      </c>
    </row>
    <row r="20" spans="1:3" x14ac:dyDescent="0.2">
      <c r="A20">
        <v>360.85972850678701</v>
      </c>
      <c r="B20">
        <v>50.680180995475098</v>
      </c>
      <c r="C20">
        <f t="shared" si="0"/>
        <v>1659664.976897262</v>
      </c>
    </row>
    <row r="21" spans="1:3" x14ac:dyDescent="0.2">
      <c r="A21">
        <v>413.12217194570098</v>
      </c>
      <c r="B21">
        <v>51.068054298642501</v>
      </c>
      <c r="C21">
        <f t="shared" si="0"/>
        <v>1672366.9784311135</v>
      </c>
    </row>
    <row r="22" spans="1:3" x14ac:dyDescent="0.2">
      <c r="A22">
        <v>466.402714932126</v>
      </c>
      <c r="B22">
        <v>52.0164705882353</v>
      </c>
      <c r="C22">
        <f t="shared" si="0"/>
        <v>1703425.5356114155</v>
      </c>
    </row>
    <row r="23" spans="1:3" x14ac:dyDescent="0.2">
      <c r="A23">
        <v>519.68325791855102</v>
      </c>
      <c r="B23">
        <v>52.204886877828102</v>
      </c>
      <c r="C23">
        <f t="shared" si="0"/>
        <v>1709595.7566084957</v>
      </c>
    </row>
    <row r="24" spans="1:3" x14ac:dyDescent="0.2">
      <c r="A24">
        <v>626.92307692307702</v>
      </c>
      <c r="B24">
        <v>53.222081447963802</v>
      </c>
      <c r="C24">
        <f t="shared" si="0"/>
        <v>1742906.6519049236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ZnSeCth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2024-05-14T21:05:29Z</dcterms:created>
  <dcterms:modified xsi:type="dcterms:W3CDTF">2024-07-03T14:59:14Z</dcterms:modified>
</cp:coreProperties>
</file>