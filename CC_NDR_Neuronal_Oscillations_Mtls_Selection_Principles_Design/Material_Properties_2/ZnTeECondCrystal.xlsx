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ychong/Desktop/Ashby Project/Main Code/"/>
    </mc:Choice>
  </mc:AlternateContent>
  <xr:revisionPtr revIDLastSave="0" documentId="8_{F2912A11-F284-6646-915F-BEDF6F147777}" xr6:coauthVersionLast="47" xr6:coauthVersionMax="47" xr10:uidLastSave="{00000000-0000-0000-0000-000000000000}"/>
  <bookViews>
    <workbookView xWindow="2680" yWindow="3240" windowWidth="26040" windowHeight="14340" xr2:uid="{09BD3CAB-6F13-F940-83B0-C30258CD6F25}"/>
  </bookViews>
  <sheets>
    <sheet name="Sheet1" sheetId="2" r:id="rId1"/>
    <sheet name="ZnTeECondCrystal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D3" i="1"/>
  <c r="E3" i="1" s="1"/>
  <c r="C4" i="1"/>
  <c r="D4" i="1"/>
  <c r="E4" i="1" s="1"/>
  <c r="C5" i="1"/>
  <c r="D5" i="1"/>
  <c r="E5" i="1" s="1"/>
  <c r="C6" i="1"/>
  <c r="D6" i="1"/>
  <c r="E6" i="1" s="1"/>
  <c r="C7" i="1"/>
  <c r="D7" i="1"/>
  <c r="E7" i="1"/>
  <c r="C8" i="1"/>
  <c r="D8" i="1"/>
  <c r="E8" i="1"/>
  <c r="C9" i="1"/>
  <c r="D9" i="1"/>
  <c r="E9" i="1"/>
  <c r="C10" i="1"/>
  <c r="D10" i="1"/>
  <c r="E10" i="1" s="1"/>
  <c r="E2" i="1"/>
  <c r="D2" i="1"/>
</calcChain>
</file>

<file path=xl/sharedStrings.xml><?xml version="1.0" encoding="utf-8"?>
<sst xmlns="http://schemas.openxmlformats.org/spreadsheetml/2006/main" count="7" uniqueCount="5">
  <si>
    <t>1000/T</t>
  </si>
  <si>
    <t xml:space="preserve">log sigma </t>
  </si>
  <si>
    <t>T</t>
  </si>
  <si>
    <t>sigma S/cm</t>
  </si>
  <si>
    <t>S/m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</si>
</sst>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7D9A8-097E-844D-AAD1-57BF50ABEE80}">
  <dimension ref="A1:B10"/>
  <sheetViews>
    <sheetView tabSelected="1" workbookViewId="0">
      <selection activeCell="M9" sqref="M9"/>
    </sheetView>
  </sheetViews>
  <sheetFormatPr baseColWidth="10" defaultRowHeight="16" x14ac:dyDescent="0.2"/>
  <sheetData>
    <row r="1" spans="1:2" x14ac:dyDescent="0.2">
      <c r="A1" t="s">
        <v>2</v>
      </c>
      <c r="B1" t="s">
        <v>4</v>
      </c>
    </row>
    <row r="2" spans="1:2" x14ac:dyDescent="0.2">
      <c r="A2">
        <v>355.62968368138803</v>
      </c>
      <c r="B2">
        <v>0.24301507653557353</v>
      </c>
    </row>
    <row r="3" spans="1:2" x14ac:dyDescent="0.2">
      <c r="A3">
        <v>327.34522426090416</v>
      </c>
      <c r="B3">
        <v>0.19352384067342257</v>
      </c>
    </row>
    <row r="4" spans="1:2" x14ac:dyDescent="0.2">
      <c r="A4">
        <v>303.2533761761477</v>
      </c>
      <c r="B4">
        <v>0.15158951219641509</v>
      </c>
    </row>
    <row r="5" spans="1:2" x14ac:dyDescent="0.2">
      <c r="A5">
        <v>281.83717991475635</v>
      </c>
      <c r="B5">
        <v>0.12852967202791599</v>
      </c>
    </row>
    <row r="6" spans="1:2" x14ac:dyDescent="0.2">
      <c r="A6">
        <v>263.66530032746397</v>
      </c>
      <c r="B6">
        <v>0.11263433375045721</v>
      </c>
    </row>
    <row r="7" spans="1:2" x14ac:dyDescent="0.2">
      <c r="A7">
        <v>247.31838160470204</v>
      </c>
      <c r="B7">
        <v>9.6132816979092109E-2</v>
      </c>
    </row>
    <row r="8" spans="1:2" x14ac:dyDescent="0.2">
      <c r="A8">
        <v>233.14594654794087</v>
      </c>
      <c r="B8">
        <v>9.0887741484868501E-2</v>
      </c>
    </row>
    <row r="9" spans="1:2" x14ac:dyDescent="0.2">
      <c r="A9">
        <v>208.7751188797875</v>
      </c>
      <c r="B9">
        <v>7.7572213790206235E-2</v>
      </c>
    </row>
    <row r="10" spans="1:2" x14ac:dyDescent="0.2">
      <c r="A10">
        <v>198.19218910364694</v>
      </c>
      <c r="B10">
        <v>7.3825510518474621E-2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2E401-7EF7-3C43-B90A-0EC06EA44F54}">
  <dimension ref="A1:E10"/>
  <sheetViews>
    <sheetView workbookViewId="0">
      <selection activeCell="E1" sqref="E1:E1048576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2.8119137571651902</v>
      </c>
      <c r="B2">
        <v>-6.0198019801980198</v>
      </c>
      <c r="C2">
        <f>1000/A2</f>
        <v>355.62968368138803</v>
      </c>
      <c r="D2">
        <f>EXP(B2)</f>
        <v>2.4301507653557352E-3</v>
      </c>
      <c r="E2">
        <f>D2*100</f>
        <v>0.24301507653557353</v>
      </c>
    </row>
    <row r="3" spans="1:5" x14ac:dyDescent="0.2">
      <c r="A3">
        <v>3.05487884314747</v>
      </c>
      <c r="B3">
        <v>-6.2475247524752398</v>
      </c>
      <c r="C3">
        <f t="shared" ref="C3:C10" si="0">1000/A3</f>
        <v>327.34522426090416</v>
      </c>
      <c r="D3">
        <f t="shared" ref="D3:D10" si="1">EXP(B3)</f>
        <v>1.9352384067342257E-3</v>
      </c>
      <c r="E3">
        <f t="shared" ref="E3:E10" si="2">D3*100</f>
        <v>0.19352384067342257</v>
      </c>
    </row>
    <row r="4" spans="1:5" x14ac:dyDescent="0.2">
      <c r="A4">
        <v>3.29757252040993</v>
      </c>
      <c r="B4">
        <v>-6.4917491749174898</v>
      </c>
      <c r="C4">
        <f t="shared" si="0"/>
        <v>303.2533761761477</v>
      </c>
      <c r="D4">
        <f t="shared" si="1"/>
        <v>1.515895121964151E-3</v>
      </c>
      <c r="E4">
        <f t="shared" si="2"/>
        <v>0.15158951219641509</v>
      </c>
    </row>
    <row r="5" spans="1:5" x14ac:dyDescent="0.2">
      <c r="A5">
        <v>3.5481479068959501</v>
      </c>
      <c r="B5">
        <v>-6.6567656765676499</v>
      </c>
      <c r="C5">
        <f t="shared" si="0"/>
        <v>281.83717991475635</v>
      </c>
      <c r="D5">
        <f t="shared" si="1"/>
        <v>1.2852967202791599E-3</v>
      </c>
      <c r="E5">
        <f t="shared" si="2"/>
        <v>0.12852967202791599</v>
      </c>
    </row>
    <row r="6" spans="1:5" x14ac:dyDescent="0.2">
      <c r="A6">
        <v>3.7926871634531798</v>
      </c>
      <c r="B6">
        <v>-6.78877887788778</v>
      </c>
      <c r="C6">
        <f t="shared" si="0"/>
        <v>263.66530032746397</v>
      </c>
      <c r="D6">
        <f t="shared" si="1"/>
        <v>1.1263433375045722E-3</v>
      </c>
      <c r="E6">
        <f t="shared" si="2"/>
        <v>0.11263433375045721</v>
      </c>
    </row>
    <row r="7" spans="1:5" x14ac:dyDescent="0.2">
      <c r="A7">
        <v>4.0433711134271304</v>
      </c>
      <c r="B7">
        <v>-6.9471947194719403</v>
      </c>
      <c r="C7">
        <f t="shared" si="0"/>
        <v>247.31838160470204</v>
      </c>
      <c r="D7">
        <f t="shared" si="1"/>
        <v>9.6132816979092113E-4</v>
      </c>
      <c r="E7">
        <f t="shared" si="2"/>
        <v>9.6132816979092109E-2</v>
      </c>
    </row>
    <row r="8" spans="1:5" x14ac:dyDescent="0.2">
      <c r="A8">
        <v>4.2891588500955304</v>
      </c>
      <c r="B8">
        <v>-7.0033003300330003</v>
      </c>
      <c r="C8">
        <f t="shared" si="0"/>
        <v>233.14594654794087</v>
      </c>
      <c r="D8">
        <f t="shared" si="1"/>
        <v>9.0887741484868502E-4</v>
      </c>
      <c r="E8">
        <f t="shared" si="2"/>
        <v>9.0887741484868501E-2</v>
      </c>
    </row>
    <row r="9" spans="1:5" x14ac:dyDescent="0.2">
      <c r="A9">
        <v>4.7898428000694802</v>
      </c>
      <c r="B9">
        <v>-7.1617161716171598</v>
      </c>
      <c r="C9">
        <f t="shared" si="0"/>
        <v>208.7751188797875</v>
      </c>
      <c r="D9">
        <f t="shared" si="1"/>
        <v>7.7572213790206234E-4</v>
      </c>
      <c r="E9">
        <f t="shared" si="2"/>
        <v>7.7572213790206235E-2</v>
      </c>
    </row>
    <row r="10" spans="1:5" x14ac:dyDescent="0.2">
      <c r="A10">
        <v>5.0456075212784404</v>
      </c>
      <c r="B10">
        <v>-7.2112211221122102</v>
      </c>
      <c r="C10">
        <f t="shared" si="0"/>
        <v>198.19218910364694</v>
      </c>
      <c r="D10">
        <f t="shared" si="1"/>
        <v>7.3825510518474627E-4</v>
      </c>
      <c r="E10">
        <f t="shared" si="2"/>
        <v>7.3825510518474621E-2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ZnTeECondCrystal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Chong, Jenny L</cp:lastModifiedBy>
  <dcterms:created xsi:type="dcterms:W3CDTF">2024-07-05T21:02:22Z</dcterms:created>
  <dcterms:modified xsi:type="dcterms:W3CDTF">2024-07-05T21:02:22Z</dcterms:modified>
</cp:coreProperties>
</file>